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braham\Documents\Actuaria\Procesos estocasticos 2\"/>
    </mc:Choice>
  </mc:AlternateContent>
  <bookViews>
    <workbookView xWindow="0" yWindow="0" windowWidth="15345" windowHeight="4650"/>
  </bookViews>
  <sheets>
    <sheet name="Hoja1" sheetId="1" r:id="rId1"/>
  </sheets>
  <functionGroups builtInGroupCount="18"/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6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1" l="1"/>
  <c r="G2" i="1"/>
  <c r="E3" i="1"/>
  <c r="J2" i="1" l="1"/>
  <c r="D2" i="1"/>
  <c r="G3" i="1"/>
  <c r="E4" i="1"/>
  <c r="G4" i="1"/>
  <c r="E5" i="1"/>
  <c r="E6" i="1"/>
  <c r="G5" i="1"/>
  <c r="E7" i="1"/>
  <c r="G6" i="1"/>
  <c r="E8" i="1"/>
  <c r="G7" i="1"/>
  <c r="E9" i="1"/>
  <c r="G8" i="1"/>
  <c r="E10" i="1"/>
  <c r="G9" i="1"/>
  <c r="E11" i="1"/>
  <c r="G10" i="1"/>
  <c r="E12" i="1"/>
  <c r="D4" i="1" l="1"/>
  <c r="L2" i="1"/>
  <c r="C2" i="1" s="1"/>
  <c r="D3" i="1"/>
  <c r="D12" i="1"/>
  <c r="D11" i="1"/>
  <c r="D10" i="1"/>
  <c r="D9" i="1"/>
  <c r="D8" i="1"/>
  <c r="D7" i="1"/>
  <c r="D6" i="1"/>
  <c r="D5" i="1"/>
  <c r="G11" i="1"/>
  <c r="G12" i="1"/>
  <c r="E13" i="1"/>
  <c r="G13" i="1"/>
  <c r="E14" i="1"/>
  <c r="D14" i="1" l="1"/>
  <c r="D13" i="1"/>
  <c r="G14" i="1"/>
  <c r="E15" i="1"/>
  <c r="G15" i="1"/>
  <c r="E16" i="1"/>
  <c r="D15" i="1" l="1"/>
  <c r="D16" i="1"/>
  <c r="G16" i="1"/>
  <c r="E17" i="1"/>
  <c r="G17" i="1"/>
  <c r="E18" i="1"/>
  <c r="E19" i="1"/>
  <c r="E20" i="1"/>
  <c r="E21" i="1"/>
  <c r="G21" i="1"/>
  <c r="G18" i="1"/>
  <c r="G20" i="1"/>
  <c r="G19" i="1"/>
  <c r="D21" i="1" l="1"/>
  <c r="D20" i="1"/>
  <c r="D19" i="1"/>
  <c r="D18" i="1"/>
  <c r="D17" i="1"/>
  <c r="E22" i="1"/>
  <c r="D22" i="1" l="1"/>
  <c r="G22" i="1"/>
  <c r="E23" i="1"/>
  <c r="D23" i="1" l="1"/>
  <c r="G23" i="1"/>
  <c r="E24" i="1"/>
  <c r="D24" i="1" l="1"/>
  <c r="G24" i="1"/>
  <c r="E25" i="1"/>
  <c r="D25" i="1" l="1"/>
  <c r="E26" i="1"/>
  <c r="D26" i="1" l="1"/>
  <c r="E27" i="1"/>
  <c r="G26" i="1"/>
  <c r="G25" i="1"/>
  <c r="D27" i="1" l="1"/>
  <c r="E28" i="1"/>
  <c r="G27" i="1"/>
  <c r="D28" i="1" l="1"/>
  <c r="G28" i="1"/>
  <c r="E29" i="1"/>
  <c r="D29" i="1" l="1"/>
  <c r="G29" i="1"/>
  <c r="E30" i="1"/>
  <c r="D30" i="1" l="1"/>
  <c r="G30" i="1"/>
  <c r="E31" i="1"/>
  <c r="D31" i="1" l="1"/>
  <c r="E32" i="1"/>
  <c r="G31" i="1"/>
  <c r="D32" i="1" l="1"/>
  <c r="E33" i="1"/>
  <c r="G32" i="1"/>
  <c r="D33" i="1" l="1"/>
  <c r="E34" i="1"/>
  <c r="G33" i="1"/>
  <c r="D34" i="1" l="1"/>
  <c r="E35" i="1"/>
  <c r="G34" i="1"/>
  <c r="D35" i="1" l="1"/>
  <c r="E36" i="1"/>
  <c r="G35" i="1"/>
  <c r="D36" i="1" l="1"/>
  <c r="E37" i="1"/>
  <c r="G36" i="1"/>
  <c r="D37" i="1" l="1"/>
  <c r="E38" i="1"/>
  <c r="G37" i="1"/>
  <c r="D38" i="1" l="1"/>
  <c r="E39" i="1"/>
  <c r="G38" i="1"/>
  <c r="D39" i="1" l="1"/>
  <c r="E40" i="1"/>
  <c r="G39" i="1"/>
  <c r="D40" i="1" l="1"/>
  <c r="E41" i="1"/>
  <c r="G40" i="1"/>
  <c r="D41" i="1" l="1"/>
  <c r="E42" i="1"/>
  <c r="G41" i="1"/>
  <c r="D42" i="1" l="1"/>
  <c r="E43" i="1"/>
  <c r="G42" i="1"/>
  <c r="D43" i="1" l="1"/>
  <c r="G43" i="1"/>
  <c r="E44" i="1"/>
  <c r="D44" i="1" l="1"/>
  <c r="G44" i="1"/>
  <c r="E45" i="1"/>
  <c r="D45" i="1" l="1"/>
  <c r="G45" i="1"/>
  <c r="E46" i="1"/>
  <c r="D46" i="1" l="1"/>
  <c r="G46" i="1"/>
  <c r="E47" i="1"/>
  <c r="D47" i="1" l="1"/>
  <c r="G47" i="1"/>
  <c r="E48" i="1"/>
  <c r="D48" i="1" l="1"/>
  <c r="G48" i="1"/>
  <c r="E49" i="1"/>
  <c r="D49" i="1" l="1"/>
  <c r="G49" i="1"/>
  <c r="E50" i="1"/>
  <c r="D50" i="1" l="1"/>
  <c r="G50" i="1"/>
  <c r="E51" i="1"/>
  <c r="D51" i="1" l="1"/>
  <c r="G51" i="1"/>
  <c r="E52" i="1"/>
  <c r="D52" i="1" l="1"/>
  <c r="E53" i="1"/>
  <c r="G52" i="1"/>
  <c r="D53" i="1" l="1"/>
  <c r="E54" i="1"/>
  <c r="G53" i="1"/>
  <c r="D54" i="1" l="1"/>
  <c r="E55" i="1"/>
  <c r="G54" i="1"/>
  <c r="D55" i="1" l="1"/>
  <c r="E56" i="1"/>
  <c r="G55" i="1"/>
  <c r="D56" i="1" l="1"/>
  <c r="E57" i="1"/>
  <c r="G56" i="1"/>
  <c r="D57" i="1" l="1"/>
  <c r="E58" i="1"/>
  <c r="G57" i="1"/>
  <c r="D58" i="1" l="1"/>
  <c r="E59" i="1"/>
  <c r="G58" i="1"/>
  <c r="D59" i="1" l="1"/>
  <c r="E60" i="1"/>
  <c r="G59" i="1"/>
  <c r="D60" i="1" l="1"/>
  <c r="E61" i="1"/>
  <c r="G60" i="1"/>
  <c r="D61" i="1" l="1"/>
  <c r="G61" i="1"/>
  <c r="E62" i="1"/>
  <c r="D62" i="1" l="1"/>
  <c r="G62" i="1"/>
  <c r="E63" i="1"/>
  <c r="D63" i="1" l="1"/>
  <c r="E64" i="1"/>
  <c r="G63" i="1"/>
  <c r="D64" i="1" l="1"/>
  <c r="E65" i="1"/>
  <c r="G64" i="1"/>
  <c r="D65" i="1" l="1"/>
  <c r="E66" i="1"/>
  <c r="G65" i="1"/>
  <c r="D66" i="1" l="1"/>
  <c r="E67" i="1"/>
  <c r="G66" i="1"/>
  <c r="D67" i="1" l="1"/>
  <c r="E68" i="1"/>
  <c r="G67" i="1"/>
  <c r="D68" i="1" l="1"/>
  <c r="G68" i="1"/>
  <c r="E69" i="1"/>
  <c r="D69" i="1" l="1"/>
  <c r="E70" i="1"/>
  <c r="G69" i="1"/>
  <c r="D70" i="1" l="1"/>
  <c r="G70" i="1"/>
  <c r="E71" i="1"/>
  <c r="D71" i="1" l="1"/>
  <c r="E72" i="1"/>
  <c r="G71" i="1"/>
  <c r="D72" i="1" l="1"/>
  <c r="E73" i="1"/>
  <c r="G72" i="1"/>
  <c r="D73" i="1" l="1"/>
  <c r="E74" i="1"/>
  <c r="G73" i="1"/>
  <c r="D74" i="1" l="1"/>
  <c r="G74" i="1"/>
  <c r="E75" i="1"/>
  <c r="D75" i="1" l="1"/>
  <c r="E76" i="1"/>
  <c r="G75" i="1"/>
  <c r="G76" i="1" l="1"/>
  <c r="D76" i="1"/>
  <c r="E77" i="1"/>
  <c r="D77" i="1" l="1"/>
  <c r="G77" i="1"/>
  <c r="E78" i="1"/>
  <c r="E79" i="1" l="1"/>
  <c r="D78" i="1"/>
  <c r="G78" i="1"/>
  <c r="E80" i="1" l="1"/>
  <c r="D79" i="1"/>
  <c r="G79" i="1"/>
  <c r="G80" i="1" l="1"/>
  <c r="D80" i="1"/>
  <c r="E81" i="1"/>
  <c r="E82" i="1" s="1"/>
  <c r="E83" i="1" l="1"/>
  <c r="E84" i="1" s="1"/>
  <c r="G82" i="1"/>
  <c r="D82" i="1"/>
  <c r="G81" i="1"/>
  <c r="D81" i="1"/>
  <c r="E85" i="1" l="1"/>
  <c r="E86" i="1" s="1"/>
  <c r="D84" i="1"/>
  <c r="G84" i="1"/>
  <c r="D83" i="1"/>
  <c r="G83" i="1"/>
  <c r="D86" i="1" l="1"/>
  <c r="G86" i="1"/>
  <c r="D85" i="1"/>
  <c r="G85" i="1"/>
  <c r="E87" i="1"/>
  <c r="G87" i="1" l="1"/>
  <c r="D87" i="1"/>
  <c r="E88" i="1"/>
  <c r="D88" i="1" l="1"/>
  <c r="G88" i="1"/>
  <c r="E89" i="1"/>
  <c r="E90" i="1" l="1"/>
  <c r="E91" i="1" s="1"/>
  <c r="G89" i="1"/>
  <c r="D89" i="1"/>
  <c r="D90" i="1" l="1"/>
  <c r="G90" i="1"/>
  <c r="D91" i="1"/>
  <c r="G91" i="1"/>
  <c r="E92" i="1"/>
  <c r="E93" i="1" s="1"/>
  <c r="D92" i="1" l="1"/>
  <c r="G92" i="1"/>
  <c r="G93" i="1"/>
  <c r="D93" i="1"/>
  <c r="E94" i="1"/>
  <c r="D94" i="1" l="1"/>
  <c r="G94" i="1"/>
  <c r="E95" i="1"/>
  <c r="E96" i="1" s="1"/>
  <c r="E97" i="1" s="1"/>
  <c r="G95" i="1" l="1"/>
  <c r="D95" i="1"/>
  <c r="E98" i="1"/>
  <c r="G97" i="1"/>
  <c r="D97" i="1"/>
  <c r="D96" i="1"/>
  <c r="G96" i="1"/>
  <c r="G98" i="1" l="1"/>
  <c r="D98" i="1"/>
  <c r="E99" i="1"/>
  <c r="G99" i="1" l="1"/>
  <c r="D99" i="1"/>
  <c r="E100" i="1"/>
  <c r="D100" i="1" l="1"/>
  <c r="G100" i="1"/>
  <c r="E101" i="1"/>
  <c r="D101" i="1" l="1"/>
  <c r="E102" i="1"/>
  <c r="G101" i="1"/>
  <c r="D102" i="1" l="1"/>
  <c r="G102" i="1"/>
  <c r="E103" i="1"/>
  <c r="G103" i="1" l="1"/>
  <c r="D103" i="1"/>
  <c r="E104" i="1"/>
  <c r="G104" i="1" l="1"/>
  <c r="D104" i="1"/>
  <c r="E105" i="1"/>
  <c r="G105" i="1" l="1"/>
  <c r="D105" i="1"/>
  <c r="E106" i="1"/>
  <c r="G106" i="1" l="1"/>
  <c r="E107" i="1"/>
  <c r="D106" i="1"/>
  <c r="D107" i="1" l="1"/>
  <c r="G107" i="1"/>
  <c r="E108" i="1"/>
  <c r="D108" i="1" l="1"/>
  <c r="G108" i="1"/>
  <c r="E109" i="1"/>
  <c r="D109" i="1" l="1"/>
  <c r="G109" i="1"/>
  <c r="E110" i="1"/>
  <c r="D110" i="1" l="1"/>
  <c r="G110" i="1"/>
  <c r="E111" i="1"/>
  <c r="G111" i="1" l="1"/>
  <c r="E112" i="1"/>
  <c r="D111" i="1"/>
  <c r="D112" i="1" l="1"/>
  <c r="G112" i="1"/>
  <c r="E113" i="1"/>
  <c r="G113" i="1" l="1"/>
  <c r="D113" i="1"/>
  <c r="E114" i="1"/>
  <c r="D114" i="1" l="1"/>
  <c r="E115" i="1"/>
  <c r="G114" i="1"/>
  <c r="D115" i="1" l="1"/>
  <c r="G115" i="1"/>
  <c r="E116" i="1"/>
  <c r="G116" i="1" l="1"/>
  <c r="D116" i="1"/>
  <c r="E117" i="1"/>
  <c r="G117" i="1" l="1"/>
  <c r="E118" i="1"/>
  <c r="D117" i="1"/>
  <c r="D118" i="1" l="1"/>
  <c r="G118" i="1"/>
  <c r="E119" i="1"/>
  <c r="E120" i="1" s="1"/>
  <c r="D120" i="1" l="1"/>
  <c r="E121" i="1"/>
  <c r="D121" i="1" s="1"/>
  <c r="G120" i="1"/>
  <c r="G119" i="1"/>
  <c r="D119" i="1"/>
  <c r="G121" i="1" l="1"/>
  <c r="E122" i="1"/>
  <c r="G122" i="1" s="1"/>
  <c r="D122" i="1" l="1"/>
  <c r="E123" i="1"/>
  <c r="G123" i="1" s="1"/>
  <c r="D123" i="1" l="1"/>
  <c r="E124" i="1"/>
  <c r="D124" i="1" s="1"/>
  <c r="E125" i="1" l="1"/>
  <c r="G125" i="1" s="1"/>
  <c r="G124" i="1"/>
  <c r="E126" i="1" l="1"/>
  <c r="D126" i="1" s="1"/>
  <c r="D125" i="1"/>
  <c r="E127" i="1" l="1"/>
  <c r="D127" i="1" s="1"/>
  <c r="G126" i="1"/>
  <c r="E128" i="1" l="1"/>
  <c r="D128" i="1" s="1"/>
  <c r="G127" i="1"/>
  <c r="E129" i="1" l="1"/>
  <c r="D129" i="1" s="1"/>
  <c r="G128" i="1"/>
  <c r="E130" i="1" l="1"/>
  <c r="D130" i="1" s="1"/>
  <c r="G129" i="1"/>
  <c r="E131" i="1" l="1"/>
  <c r="D131" i="1" s="1"/>
  <c r="G130" i="1"/>
  <c r="E132" i="1" l="1"/>
  <c r="D132" i="1" s="1"/>
  <c r="G131" i="1"/>
  <c r="E133" i="1" l="1"/>
  <c r="G133" i="1" s="1"/>
  <c r="G132" i="1"/>
  <c r="E134" i="1" l="1"/>
  <c r="G134" i="1" s="1"/>
  <c r="D133" i="1"/>
  <c r="E135" i="1" l="1"/>
  <c r="G135" i="1" s="1"/>
  <c r="D134" i="1"/>
  <c r="E136" i="1" l="1"/>
  <c r="G136" i="1" s="1"/>
  <c r="D135" i="1"/>
  <c r="E137" i="1" l="1"/>
  <c r="G137" i="1" s="1"/>
  <c r="D136" i="1"/>
  <c r="E138" i="1" l="1"/>
  <c r="D138" i="1" s="1"/>
  <c r="D137" i="1"/>
  <c r="E139" i="1" l="1"/>
  <c r="G139" i="1" s="1"/>
  <c r="G138" i="1"/>
  <c r="E140" i="1" l="1"/>
  <c r="G140" i="1" s="1"/>
  <c r="D139" i="1"/>
  <c r="E141" i="1" l="1"/>
  <c r="D141" i="1" s="1"/>
  <c r="D140" i="1"/>
  <c r="E142" i="1" l="1"/>
  <c r="G142" i="1" s="1"/>
  <c r="G141" i="1"/>
  <c r="E143" i="1" l="1"/>
  <c r="D143" i="1" s="1"/>
  <c r="D142" i="1"/>
  <c r="E144" i="1" l="1"/>
  <c r="G144" i="1" s="1"/>
  <c r="G143" i="1"/>
  <c r="E145" i="1" l="1"/>
  <c r="G145" i="1" s="1"/>
  <c r="D144" i="1"/>
  <c r="E146" i="1" l="1"/>
  <c r="G146" i="1" s="1"/>
  <c r="D145" i="1"/>
  <c r="E147" i="1" l="1"/>
  <c r="D147" i="1" s="1"/>
  <c r="D146" i="1"/>
  <c r="E148" i="1" l="1"/>
  <c r="D148" i="1" s="1"/>
  <c r="G147" i="1"/>
  <c r="E149" i="1" l="1"/>
  <c r="D149" i="1" s="1"/>
  <c r="G148" i="1"/>
  <c r="E150" i="1" l="1"/>
  <c r="G150" i="1" s="1"/>
  <c r="G149" i="1"/>
  <c r="E151" i="1" l="1"/>
  <c r="G151" i="1" s="1"/>
  <c r="D150" i="1"/>
  <c r="E152" i="1" l="1"/>
  <c r="G152" i="1" s="1"/>
  <c r="D151" i="1"/>
  <c r="E153" i="1" l="1"/>
  <c r="D153" i="1" s="1"/>
  <c r="D152" i="1"/>
  <c r="E154" i="1" l="1"/>
  <c r="G154" i="1" s="1"/>
  <c r="G153" i="1"/>
  <c r="E155" i="1" l="1"/>
  <c r="D155" i="1" s="1"/>
  <c r="D154" i="1"/>
  <c r="E156" i="1" l="1"/>
  <c r="G156" i="1" s="1"/>
  <c r="G155" i="1"/>
  <c r="E157" i="1" l="1"/>
  <c r="D157" i="1" s="1"/>
  <c r="D156" i="1"/>
  <c r="E158" i="1" l="1"/>
  <c r="D158" i="1" s="1"/>
  <c r="G157" i="1"/>
  <c r="E159" i="1" l="1"/>
  <c r="D159" i="1" s="1"/>
  <c r="G158" i="1"/>
  <c r="E160" i="1" l="1"/>
  <c r="D160" i="1" s="1"/>
  <c r="G159" i="1"/>
  <c r="E161" i="1" l="1"/>
  <c r="G161" i="1" s="1"/>
  <c r="G160" i="1"/>
  <c r="E162" i="1" l="1"/>
  <c r="D162" i="1" s="1"/>
  <c r="D161" i="1"/>
  <c r="E163" i="1" l="1"/>
  <c r="G163" i="1" s="1"/>
  <c r="G162" i="1"/>
  <c r="E164" i="1" l="1"/>
  <c r="G164" i="1" s="1"/>
  <c r="D163" i="1"/>
  <c r="E165" i="1" l="1"/>
  <c r="D165" i="1" s="1"/>
  <c r="D164" i="1"/>
  <c r="E166" i="1" l="1"/>
  <c r="G166" i="1" s="1"/>
  <c r="G165" i="1"/>
  <c r="E167" i="1" l="1"/>
  <c r="D167" i="1" s="1"/>
  <c r="D166" i="1"/>
  <c r="E168" i="1" l="1"/>
  <c r="G168" i="1" s="1"/>
  <c r="G167" i="1"/>
  <c r="E169" i="1" l="1"/>
  <c r="G169" i="1" s="1"/>
  <c r="D168" i="1"/>
  <c r="E170" i="1" l="1"/>
  <c r="G170" i="1" s="1"/>
  <c r="D169" i="1"/>
  <c r="E171" i="1" l="1"/>
  <c r="D171" i="1" s="1"/>
  <c r="D170" i="1"/>
  <c r="E172" i="1" l="1"/>
  <c r="G172" i="1" s="1"/>
  <c r="G171" i="1"/>
  <c r="E173" i="1" l="1"/>
  <c r="G173" i="1" s="1"/>
  <c r="D172" i="1"/>
  <c r="E174" i="1" l="1"/>
  <c r="D174" i="1" s="1"/>
  <c r="D173" i="1"/>
  <c r="E175" i="1" l="1"/>
  <c r="G175" i="1" s="1"/>
  <c r="G174" i="1"/>
  <c r="E176" i="1" l="1"/>
  <c r="G176" i="1" s="1"/>
  <c r="D175" i="1"/>
  <c r="E177" i="1" l="1"/>
  <c r="D177" i="1" s="1"/>
  <c r="D176" i="1"/>
  <c r="E178" i="1" l="1"/>
  <c r="D178" i="1" s="1"/>
  <c r="G177" i="1"/>
  <c r="E179" i="1" l="1"/>
  <c r="D179" i="1" s="1"/>
  <c r="G178" i="1"/>
  <c r="E180" i="1" l="1"/>
  <c r="G180" i="1" s="1"/>
  <c r="G179" i="1"/>
  <c r="E181" i="1" l="1"/>
  <c r="G181" i="1" s="1"/>
  <c r="D180" i="1"/>
  <c r="E182" i="1" l="1"/>
  <c r="D182" i="1" s="1"/>
  <c r="D181" i="1"/>
  <c r="E183" i="1" l="1"/>
  <c r="G183" i="1" s="1"/>
  <c r="G182" i="1"/>
  <c r="E184" i="1" l="1"/>
  <c r="G184" i="1" s="1"/>
  <c r="D183" i="1"/>
  <c r="E185" i="1" l="1"/>
  <c r="D185" i="1" s="1"/>
  <c r="D184" i="1"/>
  <c r="E186" i="1" l="1"/>
  <c r="D186" i="1" s="1"/>
  <c r="G185" i="1"/>
  <c r="E187" i="1" l="1"/>
  <c r="G187" i="1" s="1"/>
  <c r="G186" i="1"/>
  <c r="E188" i="1" l="1"/>
  <c r="G188" i="1" s="1"/>
  <c r="D187" i="1"/>
  <c r="E189" i="1" l="1"/>
  <c r="D189" i="1" s="1"/>
  <c r="D188" i="1"/>
  <c r="E190" i="1" l="1"/>
  <c r="G190" i="1" s="1"/>
  <c r="G189" i="1"/>
  <c r="E191" i="1" l="1"/>
  <c r="G191" i="1" s="1"/>
  <c r="D190" i="1"/>
  <c r="E192" i="1" l="1"/>
  <c r="D192" i="1" s="1"/>
  <c r="D191" i="1"/>
  <c r="E193" i="1" l="1"/>
  <c r="G193" i="1" s="1"/>
  <c r="G192" i="1"/>
  <c r="E194" i="1" l="1"/>
  <c r="G194" i="1" s="1"/>
  <c r="D193" i="1"/>
  <c r="E195" i="1" l="1"/>
  <c r="G195" i="1" s="1"/>
  <c r="D194" i="1"/>
  <c r="E196" i="1" l="1"/>
  <c r="D196" i="1" s="1"/>
  <c r="D195" i="1"/>
  <c r="E197" i="1" l="1"/>
  <c r="G197" i="1" s="1"/>
  <c r="G196" i="1"/>
  <c r="E198" i="1" l="1"/>
  <c r="G198" i="1" s="1"/>
  <c r="D197" i="1"/>
  <c r="E199" i="1" l="1"/>
  <c r="D199" i="1" s="1"/>
  <c r="D198" i="1"/>
  <c r="G199" i="1"/>
  <c r="H2" i="1"/>
  <c r="H3" i="1" s="1"/>
  <c r="H4" i="1" s="1"/>
  <c r="H5" i="1" s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H103" i="1" s="1"/>
  <c r="H104" i="1" s="1"/>
  <c r="H105" i="1" s="1"/>
  <c r="H106" i="1" s="1"/>
  <c r="H107" i="1" s="1"/>
  <c r="H108" i="1" s="1"/>
  <c r="H109" i="1" s="1"/>
  <c r="H110" i="1" s="1"/>
  <c r="H111" i="1" s="1"/>
  <c r="H112" i="1" s="1"/>
  <c r="H113" i="1" s="1"/>
  <c r="H114" i="1" s="1"/>
  <c r="H115" i="1" s="1"/>
  <c r="H116" i="1" s="1"/>
  <c r="H117" i="1" s="1"/>
  <c r="H118" i="1" s="1"/>
  <c r="H119" i="1" s="1"/>
  <c r="H120" i="1" s="1"/>
  <c r="H121" i="1" s="1"/>
  <c r="H122" i="1" s="1"/>
  <c r="H123" i="1" s="1"/>
  <c r="H124" i="1" s="1"/>
  <c r="H125" i="1" s="1"/>
  <c r="H126" i="1" s="1"/>
  <c r="H127" i="1" s="1"/>
  <c r="H128" i="1" s="1"/>
  <c r="H129" i="1" s="1"/>
  <c r="H130" i="1" s="1"/>
  <c r="H131" i="1" s="1"/>
  <c r="H132" i="1" s="1"/>
  <c r="H133" i="1" s="1"/>
  <c r="H134" i="1" s="1"/>
  <c r="H135" i="1" s="1"/>
  <c r="H136" i="1" s="1"/>
  <c r="H137" i="1" s="1"/>
  <c r="H138" i="1" s="1"/>
  <c r="H139" i="1" s="1"/>
  <c r="H140" i="1" s="1"/>
  <c r="H141" i="1" s="1"/>
  <c r="H142" i="1" s="1"/>
  <c r="H143" i="1" s="1"/>
  <c r="H144" i="1" s="1"/>
  <c r="H145" i="1" s="1"/>
  <c r="H146" i="1" s="1"/>
  <c r="H147" i="1" s="1"/>
  <c r="H148" i="1" s="1"/>
  <c r="H149" i="1" s="1"/>
  <c r="H150" i="1" s="1"/>
  <c r="H151" i="1" s="1"/>
  <c r="H152" i="1" s="1"/>
  <c r="H153" i="1" s="1"/>
  <c r="H154" i="1" s="1"/>
  <c r="H155" i="1" s="1"/>
  <c r="H156" i="1" s="1"/>
  <c r="H157" i="1" s="1"/>
  <c r="H158" i="1" s="1"/>
  <c r="H159" i="1" s="1"/>
  <c r="H160" i="1" s="1"/>
  <c r="H161" i="1" s="1"/>
  <c r="H162" i="1" s="1"/>
  <c r="H163" i="1" s="1"/>
  <c r="H164" i="1" s="1"/>
  <c r="H165" i="1" s="1"/>
  <c r="H166" i="1" s="1"/>
  <c r="H167" i="1" s="1"/>
  <c r="H168" i="1" s="1"/>
  <c r="H169" i="1" s="1"/>
  <c r="H170" i="1" s="1"/>
  <c r="H171" i="1" s="1"/>
  <c r="H172" i="1" s="1"/>
  <c r="H173" i="1" s="1"/>
  <c r="H174" i="1" s="1"/>
  <c r="H175" i="1" s="1"/>
  <c r="H176" i="1" s="1"/>
  <c r="H177" i="1" s="1"/>
  <c r="H178" i="1" s="1"/>
  <c r="H179" i="1" s="1"/>
  <c r="H180" i="1" s="1"/>
  <c r="H181" i="1" s="1"/>
  <c r="H182" i="1" s="1"/>
  <c r="H183" i="1" s="1"/>
  <c r="H184" i="1" s="1"/>
  <c r="H185" i="1" s="1"/>
  <c r="H186" i="1" s="1"/>
  <c r="H187" i="1" s="1"/>
  <c r="H188" i="1" s="1"/>
  <c r="H189" i="1" s="1"/>
  <c r="H190" i="1" s="1"/>
  <c r="H191" i="1" s="1"/>
  <c r="H192" i="1" s="1"/>
  <c r="H193" i="1" s="1"/>
  <c r="H194" i="1" s="1"/>
  <c r="H195" i="1" s="1"/>
  <c r="H196" i="1" s="1"/>
  <c r="H197" i="1" s="1"/>
  <c r="H198" i="1" s="1"/>
  <c r="H199" i="1" s="1"/>
  <c r="E200" i="1"/>
  <c r="F2" i="1" l="1"/>
  <c r="K2" i="1"/>
  <c r="I2" i="1"/>
  <c r="J3" i="1" l="1"/>
  <c r="L3" i="1" s="1"/>
  <c r="C3" i="1" s="1"/>
  <c r="K3" i="1"/>
  <c r="I3" i="1"/>
  <c r="K4" i="1"/>
  <c r="I4" i="1" l="1"/>
  <c r="J4" i="1"/>
  <c r="J5" i="1" l="1"/>
  <c r="L5" i="1" s="1"/>
  <c r="C5" i="1" s="1"/>
  <c r="I5" i="1"/>
  <c r="J6" i="1"/>
  <c r="K5" i="1"/>
  <c r="L4" i="1"/>
  <c r="C4" i="1" s="1"/>
  <c r="L6" i="1" l="1"/>
  <c r="C6" i="1" s="1"/>
  <c r="I6" i="1"/>
  <c r="J7" i="1"/>
  <c r="L7" i="1" s="1"/>
  <c r="C7" i="1" s="1"/>
  <c r="K6" i="1"/>
  <c r="I7" i="1" l="1"/>
  <c r="K7" i="1"/>
  <c r="K8" i="1"/>
  <c r="K9" i="1" l="1"/>
  <c r="I8" i="1"/>
  <c r="J8" i="1"/>
  <c r="L8" i="1" s="1"/>
  <c r="C8" i="1" s="1"/>
  <c r="I9" i="1" l="1"/>
  <c r="J9" i="1"/>
  <c r="L9" i="1" s="1"/>
  <c r="C9" i="1" s="1"/>
  <c r="K10" i="1"/>
  <c r="I11" i="1" l="1"/>
  <c r="I10" i="1"/>
  <c r="J10" i="1"/>
  <c r="L10" i="1" s="1"/>
  <c r="C10" i="1" s="1"/>
  <c r="J11" i="1" l="1"/>
  <c r="L11" i="1" s="1"/>
  <c r="C11" i="1" s="1"/>
  <c r="K11" i="1"/>
  <c r="I12" i="1"/>
  <c r="I13" i="1" l="1"/>
  <c r="J12" i="1"/>
  <c r="L12" i="1" s="1"/>
  <c r="C12" i="1" s="1"/>
  <c r="K12" i="1"/>
  <c r="I14" i="1" l="1"/>
  <c r="K13" i="1"/>
  <c r="J13" i="1"/>
  <c r="L13" i="1" s="1"/>
  <c r="C13" i="1" s="1"/>
  <c r="K14" i="1" l="1"/>
  <c r="I15" i="1"/>
  <c r="J14" i="1"/>
  <c r="L14" i="1" s="1"/>
  <c r="C14" i="1" s="1"/>
  <c r="K15" i="1" l="1"/>
  <c r="J16" i="1"/>
  <c r="J15" i="1"/>
  <c r="L15" i="1" s="1"/>
  <c r="C15" i="1" s="1"/>
  <c r="L16" i="1" l="1"/>
  <c r="C16" i="1" s="1"/>
  <c r="K16" i="1"/>
  <c r="I16" i="1"/>
  <c r="I17" i="1"/>
  <c r="K18" i="1" l="1"/>
  <c r="J17" i="1"/>
  <c r="L17" i="1" s="1"/>
  <c r="C17" i="1" s="1"/>
  <c r="K17" i="1"/>
  <c r="I19" i="1" l="1"/>
  <c r="I18" i="1"/>
  <c r="J18" i="1"/>
  <c r="L18" i="1" s="1"/>
  <c r="C18" i="1" s="1"/>
  <c r="I20" i="1" l="1"/>
  <c r="J19" i="1"/>
  <c r="L19" i="1" s="1"/>
  <c r="C19" i="1" s="1"/>
  <c r="K19" i="1"/>
  <c r="K21" i="1" l="1"/>
  <c r="K20" i="1"/>
  <c r="J20" i="1"/>
  <c r="L20" i="1" s="1"/>
  <c r="C20" i="1" s="1"/>
  <c r="I22" i="1" l="1"/>
  <c r="I21" i="1"/>
  <c r="J21" i="1"/>
  <c r="L21" i="1" s="1"/>
  <c r="C21" i="1" s="1"/>
  <c r="K23" i="1" l="1"/>
  <c r="J22" i="1"/>
  <c r="L22" i="1" s="1"/>
  <c r="C22" i="1" s="1"/>
  <c r="K22" i="1"/>
  <c r="J23" i="1" l="1"/>
  <c r="L23" i="1" s="1"/>
  <c r="C23" i="1" s="1"/>
  <c r="I23" i="1"/>
  <c r="I24" i="1"/>
  <c r="I25" i="1" l="1"/>
  <c r="J24" i="1"/>
  <c r="L24" i="1" s="1"/>
  <c r="C24" i="1" s="1"/>
  <c r="K24" i="1"/>
  <c r="K25" i="1" l="1"/>
  <c r="I26" i="1"/>
  <c r="J25" i="1"/>
  <c r="L25" i="1" s="1"/>
  <c r="C25" i="1" s="1"/>
  <c r="K26" i="1" l="1"/>
  <c r="J27" i="1"/>
  <c r="J26" i="1"/>
  <c r="L26" i="1" s="1"/>
  <c r="C26" i="1" s="1"/>
  <c r="L27" i="1" l="1"/>
  <c r="C27" i="1" s="1"/>
  <c r="I27" i="1"/>
  <c r="J28" i="1"/>
  <c r="L28" i="1" s="1"/>
  <c r="C28" i="1" s="1"/>
  <c r="K27" i="1"/>
  <c r="I28" i="1" l="1"/>
  <c r="K28" i="1"/>
  <c r="K29" i="1"/>
  <c r="J29" i="1" l="1"/>
  <c r="L29" i="1" s="1"/>
  <c r="C29" i="1" s="1"/>
  <c r="I29" i="1"/>
  <c r="I30" i="1"/>
  <c r="K31" i="1" l="1"/>
  <c r="J30" i="1"/>
  <c r="L30" i="1" s="1"/>
  <c r="C30" i="1" s="1"/>
  <c r="K30" i="1"/>
  <c r="K32" i="1" l="1"/>
  <c r="J31" i="1"/>
  <c r="L31" i="1" s="1"/>
  <c r="C31" i="1" s="1"/>
  <c r="I31" i="1"/>
  <c r="I33" i="1" l="1"/>
  <c r="I32" i="1"/>
  <c r="J32" i="1"/>
  <c r="L32" i="1" s="1"/>
  <c r="C32" i="1" s="1"/>
  <c r="K34" i="1" l="1"/>
  <c r="J33" i="1"/>
  <c r="L33" i="1" s="1"/>
  <c r="C33" i="1" s="1"/>
  <c r="K33" i="1"/>
  <c r="I35" i="1" l="1"/>
  <c r="I34" i="1"/>
  <c r="J34" i="1"/>
  <c r="L34" i="1" s="1"/>
  <c r="C34" i="1" s="1"/>
  <c r="I36" i="1" l="1"/>
  <c r="J35" i="1"/>
  <c r="L35" i="1" s="1"/>
  <c r="C35" i="1" s="1"/>
  <c r="K35" i="1"/>
  <c r="K37" i="1" l="1"/>
  <c r="K36" i="1"/>
  <c r="J36" i="1"/>
  <c r="L36" i="1" s="1"/>
  <c r="C36" i="1" s="1"/>
  <c r="J37" i="1" l="1"/>
  <c r="L37" i="1" s="1"/>
  <c r="C37" i="1" s="1"/>
  <c r="J38" i="1"/>
  <c r="I37" i="1"/>
  <c r="L38" i="1" l="1"/>
  <c r="C38" i="1" s="1"/>
  <c r="I38" i="1"/>
  <c r="K38" i="1"/>
  <c r="I39" i="1"/>
  <c r="K39" i="1" l="1"/>
  <c r="J39" i="1"/>
  <c r="L39" i="1" s="1"/>
  <c r="C39" i="1" s="1"/>
  <c r="I40" i="1"/>
  <c r="K41" i="1" l="1"/>
  <c r="K40" i="1"/>
  <c r="J40" i="1"/>
  <c r="L40" i="1" s="1"/>
  <c r="C40" i="1" s="1"/>
  <c r="I42" i="1" l="1"/>
  <c r="J41" i="1"/>
  <c r="L41" i="1" s="1"/>
  <c r="C41" i="1" s="1"/>
  <c r="I41" i="1"/>
  <c r="K43" i="1" l="1"/>
  <c r="J42" i="1"/>
  <c r="L42" i="1" s="1"/>
  <c r="C42" i="1" s="1"/>
  <c r="K42" i="1"/>
  <c r="I43" i="1" l="1"/>
  <c r="J44" i="1"/>
  <c r="J43" i="1"/>
  <c r="L43" i="1" s="1"/>
  <c r="C43" i="1" s="1"/>
  <c r="L44" i="1" l="1"/>
  <c r="C44" i="1" s="1"/>
  <c r="K44" i="1"/>
  <c r="I44" i="1"/>
  <c r="I45" i="1"/>
  <c r="K46" i="1" l="1"/>
  <c r="K45" i="1"/>
  <c r="J45" i="1"/>
  <c r="L45" i="1" s="1"/>
  <c r="C45" i="1" s="1"/>
  <c r="I47" i="1" l="1"/>
  <c r="I46" i="1"/>
  <c r="J46" i="1"/>
  <c r="L46" i="1" s="1"/>
  <c r="C46" i="1" s="1"/>
  <c r="I48" i="1" l="1"/>
  <c r="K47" i="1"/>
  <c r="J47" i="1"/>
  <c r="L47" i="1" s="1"/>
  <c r="C47" i="1" s="1"/>
  <c r="K49" i="1" l="1"/>
  <c r="K48" i="1"/>
  <c r="J48" i="1"/>
  <c r="L48" i="1" s="1"/>
  <c r="C48" i="1" s="1"/>
  <c r="I50" i="1" l="1"/>
  <c r="J49" i="1"/>
  <c r="L49" i="1" s="1"/>
  <c r="C49" i="1" s="1"/>
  <c r="I49" i="1"/>
  <c r="K51" i="1" l="1"/>
  <c r="K50" i="1"/>
  <c r="J50" i="1"/>
  <c r="L50" i="1" s="1"/>
  <c r="C50" i="1" s="1"/>
  <c r="K52" i="1" l="1"/>
  <c r="I51" i="1"/>
  <c r="J51" i="1"/>
  <c r="L51" i="1" s="1"/>
  <c r="C51" i="1" s="1"/>
  <c r="I53" i="1" l="1"/>
  <c r="J52" i="1"/>
  <c r="L52" i="1" s="1"/>
  <c r="C52" i="1" s="1"/>
  <c r="I52" i="1"/>
  <c r="K53" i="1" l="1"/>
  <c r="J54" i="1"/>
  <c r="J53" i="1"/>
  <c r="L53" i="1" s="1"/>
  <c r="C53" i="1" s="1"/>
  <c r="L54" i="1" l="1"/>
  <c r="C54" i="1" s="1"/>
  <c r="K54" i="1"/>
  <c r="I54" i="1"/>
  <c r="I55" i="1"/>
  <c r="J55" i="1" l="1"/>
  <c r="L55" i="1" s="1"/>
  <c r="C55" i="1" s="1"/>
  <c r="K55" i="1"/>
  <c r="I56" i="1"/>
  <c r="K57" i="1" l="1"/>
  <c r="K56" i="1"/>
  <c r="J56" i="1"/>
  <c r="L56" i="1" s="1"/>
  <c r="C56" i="1" s="1"/>
  <c r="I57" i="1" l="1"/>
  <c r="K58" i="1"/>
  <c r="J57" i="1"/>
  <c r="L57" i="1" s="1"/>
  <c r="C57" i="1" s="1"/>
  <c r="I58" i="1" l="1"/>
  <c r="J58" i="1"/>
  <c r="L58" i="1" s="1"/>
  <c r="C58" i="1" s="1"/>
  <c r="K59" i="1"/>
  <c r="K60" i="1" l="1"/>
  <c r="J59" i="1"/>
  <c r="L59" i="1" s="1"/>
  <c r="C59" i="1" s="1"/>
  <c r="I59" i="1"/>
  <c r="I61" i="1" l="1"/>
  <c r="J60" i="1"/>
  <c r="L60" i="1" s="1"/>
  <c r="C60" i="1" s="1"/>
  <c r="I60" i="1"/>
  <c r="J61" i="1" l="1"/>
  <c r="L61" i="1" s="1"/>
  <c r="C61" i="1" s="1"/>
  <c r="J62" i="1"/>
  <c r="L62" i="1" s="1"/>
  <c r="C62" i="1" s="1"/>
  <c r="K61" i="1"/>
  <c r="K62" i="1" l="1"/>
  <c r="K63" i="1"/>
  <c r="I62" i="1"/>
  <c r="J63" i="1" l="1"/>
  <c r="L63" i="1" s="1"/>
  <c r="C63" i="1" s="1"/>
  <c r="I63" i="1"/>
  <c r="I64" i="1"/>
  <c r="K65" i="1" l="1"/>
  <c r="K64" i="1"/>
  <c r="J64" i="1"/>
  <c r="L64" i="1" s="1"/>
  <c r="C64" i="1" s="1"/>
  <c r="I66" i="1" l="1"/>
  <c r="I65" i="1"/>
  <c r="J65" i="1"/>
  <c r="L65" i="1" s="1"/>
  <c r="C65" i="1" s="1"/>
  <c r="K67" i="1" l="1"/>
  <c r="J66" i="1"/>
  <c r="L66" i="1" s="1"/>
  <c r="C66" i="1" s="1"/>
  <c r="K66" i="1"/>
  <c r="I67" i="1" l="1"/>
  <c r="J68" i="1"/>
  <c r="L68" i="1" s="1"/>
  <c r="C68" i="1" s="1"/>
  <c r="J67" i="1"/>
  <c r="L67" i="1" s="1"/>
  <c r="C67" i="1" s="1"/>
  <c r="K68" i="1" l="1"/>
  <c r="I68" i="1"/>
  <c r="I69" i="1"/>
  <c r="K70" i="1" l="1"/>
  <c r="J69" i="1"/>
  <c r="L69" i="1" s="1"/>
  <c r="C69" i="1" s="1"/>
  <c r="K69" i="1"/>
  <c r="I71" i="1" l="1"/>
  <c r="I70" i="1"/>
  <c r="J70" i="1"/>
  <c r="L70" i="1" s="1"/>
  <c r="C70" i="1" s="1"/>
  <c r="K71" i="1" l="1"/>
  <c r="J71" i="1"/>
  <c r="L71" i="1" s="1"/>
  <c r="C71" i="1" s="1"/>
  <c r="I72" i="1"/>
  <c r="I73" i="1" l="1"/>
  <c r="K72" i="1"/>
  <c r="J72" i="1"/>
  <c r="L72" i="1" s="1"/>
  <c r="C72" i="1" s="1"/>
  <c r="J73" i="1" l="1"/>
  <c r="L73" i="1" s="1"/>
  <c r="C73" i="1" s="1"/>
  <c r="K73" i="1"/>
  <c r="K74" i="1"/>
  <c r="I75" i="1" l="1"/>
  <c r="J74" i="1"/>
  <c r="L74" i="1" s="1"/>
  <c r="C74" i="1" s="1"/>
  <c r="I74" i="1"/>
  <c r="I76" i="1" l="1"/>
  <c r="J75" i="1"/>
  <c r="L75" i="1" s="1"/>
  <c r="C75" i="1" s="1"/>
  <c r="K75" i="1"/>
  <c r="K77" i="1" l="1"/>
  <c r="J76" i="1"/>
  <c r="L76" i="1" s="1"/>
  <c r="C76" i="1" s="1"/>
  <c r="K76" i="1"/>
  <c r="I78" i="1" l="1"/>
  <c r="I77" i="1"/>
  <c r="J77" i="1"/>
  <c r="L77" i="1" s="1"/>
  <c r="C77" i="1" s="1"/>
  <c r="K79" i="1" l="1"/>
  <c r="K78" i="1"/>
  <c r="J78" i="1"/>
  <c r="L78" i="1" s="1"/>
  <c r="C78" i="1" s="1"/>
  <c r="I79" i="1" l="1"/>
  <c r="J79" i="1"/>
  <c r="L79" i="1" s="1"/>
  <c r="C79" i="1" s="1"/>
  <c r="K80" i="1"/>
  <c r="I81" i="1" l="1"/>
  <c r="I80" i="1"/>
  <c r="J80" i="1"/>
  <c r="L80" i="1" s="1"/>
  <c r="C80" i="1" s="1"/>
  <c r="K82" i="1" l="1"/>
  <c r="K81" i="1"/>
  <c r="J81" i="1"/>
  <c r="L81" i="1" s="1"/>
  <c r="C81" i="1" s="1"/>
  <c r="I83" i="1" l="1"/>
  <c r="J82" i="1"/>
  <c r="L82" i="1" s="1"/>
  <c r="C82" i="1" s="1"/>
  <c r="I82" i="1"/>
  <c r="J83" i="1" l="1"/>
  <c r="L83" i="1" s="1"/>
  <c r="C83" i="1" s="1"/>
  <c r="K83" i="1"/>
  <c r="I84" i="1"/>
  <c r="K85" i="1" l="1"/>
  <c r="K84" i="1"/>
  <c r="J84" i="1"/>
  <c r="L84" i="1" s="1"/>
  <c r="C84" i="1" s="1"/>
  <c r="I86" i="1" l="1"/>
  <c r="I85" i="1"/>
  <c r="J85" i="1"/>
  <c r="L85" i="1" s="1"/>
  <c r="C85" i="1" s="1"/>
  <c r="K87" i="1" l="1"/>
  <c r="K86" i="1"/>
  <c r="J86" i="1"/>
  <c r="L86" i="1" s="1"/>
  <c r="C86" i="1" s="1"/>
  <c r="K88" i="1" l="1"/>
  <c r="J87" i="1"/>
  <c r="L87" i="1" s="1"/>
  <c r="C87" i="1" s="1"/>
  <c r="I87" i="1"/>
  <c r="K89" i="1" l="1"/>
  <c r="I88" i="1"/>
  <c r="J88" i="1"/>
  <c r="L88" i="1" s="1"/>
  <c r="C88" i="1" s="1"/>
  <c r="I90" i="1" l="1"/>
  <c r="I89" i="1"/>
  <c r="J89" i="1"/>
  <c r="L89" i="1" s="1"/>
  <c r="C89" i="1" s="1"/>
  <c r="K91" i="1" l="1"/>
  <c r="J90" i="1"/>
  <c r="L90" i="1" s="1"/>
  <c r="C90" i="1" s="1"/>
  <c r="K90" i="1"/>
  <c r="I92" i="1" l="1"/>
  <c r="J91" i="1"/>
  <c r="L91" i="1" s="1"/>
  <c r="C91" i="1" s="1"/>
  <c r="I91" i="1"/>
  <c r="I93" i="1" l="1"/>
  <c r="J92" i="1"/>
  <c r="L92" i="1" s="1"/>
  <c r="C92" i="1" s="1"/>
  <c r="K92" i="1"/>
  <c r="K93" i="1" l="1"/>
  <c r="I94" i="1"/>
  <c r="J93" i="1"/>
  <c r="L93" i="1" s="1"/>
  <c r="C93" i="1" s="1"/>
  <c r="K94" i="1" l="1"/>
  <c r="J94" i="1"/>
  <c r="L94" i="1" s="1"/>
  <c r="C94" i="1" s="1"/>
  <c r="I95" i="1"/>
  <c r="J95" i="1" l="1"/>
  <c r="L95" i="1" s="1"/>
  <c r="C95" i="1" s="1"/>
  <c r="K95" i="1"/>
  <c r="I96" i="1"/>
  <c r="K97" i="1" l="1"/>
  <c r="J96" i="1"/>
  <c r="L96" i="1" s="1"/>
  <c r="C96" i="1" s="1"/>
  <c r="K96" i="1"/>
  <c r="I97" i="1" l="1"/>
  <c r="K98" i="1"/>
  <c r="J97" i="1"/>
  <c r="L97" i="1" s="1"/>
  <c r="C97" i="1" s="1"/>
  <c r="I98" i="1" l="1"/>
  <c r="J99" i="1"/>
  <c r="L99" i="1" s="1"/>
  <c r="C99" i="1" s="1"/>
  <c r="J98" i="1"/>
  <c r="L98" i="1" s="1"/>
  <c r="C98" i="1" s="1"/>
  <c r="K99" i="1" l="1"/>
  <c r="I99" i="1"/>
  <c r="I100" i="1"/>
  <c r="I101" i="1" l="1"/>
  <c r="K100" i="1"/>
  <c r="J100" i="1"/>
  <c r="L100" i="1" s="1"/>
  <c r="C100" i="1" s="1"/>
  <c r="J101" i="1" l="1"/>
  <c r="L101" i="1" s="1"/>
  <c r="C101" i="1" s="1"/>
  <c r="J102" i="1"/>
  <c r="L102" i="1" s="1"/>
  <c r="C102" i="1" s="1"/>
  <c r="K101" i="1"/>
  <c r="K102" i="1" l="1"/>
  <c r="I102" i="1"/>
  <c r="I103" i="1"/>
  <c r="K104" i="1" l="1"/>
  <c r="K103" i="1"/>
  <c r="J103" i="1"/>
  <c r="L103" i="1" s="1"/>
  <c r="C103" i="1" s="1"/>
  <c r="I104" i="1" l="1"/>
  <c r="I105" i="1"/>
  <c r="J104" i="1"/>
  <c r="L104" i="1" s="1"/>
  <c r="C104" i="1" s="1"/>
  <c r="K105" i="1" l="1"/>
  <c r="J105" i="1"/>
  <c r="L105" i="1" s="1"/>
  <c r="C105" i="1" s="1"/>
  <c r="I106" i="1"/>
  <c r="K107" i="1" l="1"/>
  <c r="K106" i="1"/>
  <c r="J106" i="1"/>
  <c r="L106" i="1" s="1"/>
  <c r="C106" i="1" s="1"/>
  <c r="J107" i="1" l="1"/>
  <c r="L107" i="1" s="1"/>
  <c r="C107" i="1" s="1"/>
  <c r="K108" i="1"/>
  <c r="I107" i="1"/>
  <c r="J108" i="1" l="1"/>
  <c r="L108" i="1" s="1"/>
  <c r="C108" i="1" s="1"/>
  <c r="I108" i="1"/>
  <c r="I109" i="1"/>
  <c r="K109" i="1" l="1"/>
  <c r="J110" i="1"/>
  <c r="L110" i="1" s="1"/>
  <c r="C110" i="1" s="1"/>
  <c r="J109" i="1"/>
  <c r="L109" i="1" s="1"/>
  <c r="C109" i="1" s="1"/>
  <c r="K110" i="1" l="1"/>
  <c r="I110" i="1"/>
  <c r="I111" i="1"/>
  <c r="J111" i="1" l="1"/>
  <c r="L111" i="1" s="1"/>
  <c r="C111" i="1" s="1"/>
  <c r="K111" i="1"/>
  <c r="K112" i="1"/>
  <c r="K113" i="1" l="1"/>
  <c r="J112" i="1"/>
  <c r="L112" i="1" s="1"/>
  <c r="C112" i="1" s="1"/>
  <c r="I112" i="1"/>
  <c r="I114" i="1" l="1"/>
  <c r="J113" i="1"/>
  <c r="L113" i="1" s="1"/>
  <c r="C113" i="1" s="1"/>
  <c r="I113" i="1"/>
  <c r="K115" i="1" l="1"/>
  <c r="K114" i="1"/>
  <c r="J114" i="1"/>
  <c r="L114" i="1" s="1"/>
  <c r="C114" i="1" s="1"/>
  <c r="I116" i="1" l="1"/>
  <c r="J115" i="1"/>
  <c r="L115" i="1" s="1"/>
  <c r="C115" i="1" s="1"/>
  <c r="I115" i="1"/>
  <c r="I117" i="1" l="1"/>
  <c r="K116" i="1"/>
  <c r="J116" i="1"/>
  <c r="L116" i="1" s="1"/>
  <c r="C116" i="1" s="1"/>
  <c r="K117" i="1" l="1"/>
  <c r="J117" i="1"/>
  <c r="L117" i="1" s="1"/>
  <c r="C117" i="1" s="1"/>
  <c r="J118" i="1"/>
  <c r="L118" i="1" s="1"/>
  <c r="C118" i="1" s="1"/>
  <c r="I119" i="1" l="1"/>
  <c r="I118" i="1"/>
  <c r="K118" i="1"/>
  <c r="K119" i="1" l="1"/>
  <c r="J119" i="1"/>
  <c r="L119" i="1" s="1"/>
  <c r="C119" i="1" s="1"/>
  <c r="K120" i="1"/>
  <c r="K121" i="1" l="1"/>
  <c r="J120" i="1"/>
  <c r="L120" i="1" s="1"/>
  <c r="C120" i="1" s="1"/>
  <c r="I120" i="1"/>
  <c r="I121" i="1" l="1"/>
  <c r="K122" i="1"/>
  <c r="J121" i="1"/>
  <c r="L121" i="1" s="1"/>
  <c r="C121" i="1" s="1"/>
  <c r="I122" i="1" l="1"/>
  <c r="J122" i="1"/>
  <c r="L122" i="1" s="1"/>
  <c r="C122" i="1" s="1"/>
  <c r="K123" i="1"/>
  <c r="I123" i="1" l="1"/>
  <c r="J123" i="1"/>
  <c r="L123" i="1" s="1"/>
  <c r="C123" i="1" s="1"/>
  <c r="I124" i="1"/>
  <c r="I125" i="1" l="1"/>
  <c r="K124" i="1"/>
  <c r="J124" i="1"/>
  <c r="L124" i="1" s="1"/>
  <c r="C124" i="1" s="1"/>
  <c r="K126" i="1" l="1"/>
  <c r="J125" i="1"/>
  <c r="L125" i="1" s="1"/>
  <c r="C125" i="1" s="1"/>
  <c r="K125" i="1"/>
  <c r="I127" i="1" l="1"/>
  <c r="I126" i="1"/>
  <c r="J126" i="1"/>
  <c r="L126" i="1" s="1"/>
  <c r="C126" i="1" s="1"/>
  <c r="J127" i="1" l="1"/>
  <c r="L127" i="1" s="1"/>
  <c r="C127" i="1" s="1"/>
  <c r="K127" i="1"/>
  <c r="K128" i="1"/>
  <c r="K129" i="1" l="1"/>
  <c r="J128" i="1"/>
  <c r="L128" i="1" s="1"/>
  <c r="C128" i="1" s="1"/>
  <c r="I128" i="1"/>
  <c r="I129" i="1" l="1"/>
  <c r="K130" i="1"/>
  <c r="J129" i="1"/>
  <c r="L129" i="1" s="1"/>
  <c r="C129" i="1" s="1"/>
  <c r="I130" i="1" l="1"/>
  <c r="J130" i="1"/>
  <c r="L130" i="1" s="1"/>
  <c r="C130" i="1" s="1"/>
  <c r="K131" i="1"/>
  <c r="I132" i="1" l="1"/>
  <c r="J131" i="1"/>
  <c r="L131" i="1" s="1"/>
  <c r="C131" i="1" s="1"/>
  <c r="I131" i="1"/>
  <c r="K133" i="1" l="1"/>
  <c r="K132" i="1"/>
  <c r="J132" i="1"/>
  <c r="L132" i="1" s="1"/>
  <c r="C132" i="1" s="1"/>
  <c r="I134" i="1" l="1"/>
  <c r="J133" i="1"/>
  <c r="L133" i="1" s="1"/>
  <c r="C133" i="1" s="1"/>
  <c r="I133" i="1"/>
  <c r="J134" i="1" l="1"/>
  <c r="L134" i="1" s="1"/>
  <c r="C134" i="1" s="1"/>
  <c r="J135" i="1"/>
  <c r="L135" i="1" s="1"/>
  <c r="C135" i="1" s="1"/>
  <c r="K134" i="1"/>
  <c r="I135" i="1" l="1"/>
  <c r="K135" i="1"/>
  <c r="I136" i="1"/>
  <c r="K137" i="1" l="1"/>
  <c r="J136" i="1"/>
  <c r="L136" i="1" s="1"/>
  <c r="C136" i="1" s="1"/>
  <c r="K136" i="1"/>
  <c r="I138" i="1" l="1"/>
  <c r="J137" i="1"/>
  <c r="L137" i="1" s="1"/>
  <c r="C137" i="1" s="1"/>
  <c r="I137" i="1"/>
  <c r="J138" i="1" l="1"/>
  <c r="L138" i="1" s="1"/>
  <c r="C138" i="1" s="1"/>
  <c r="J139" i="1"/>
  <c r="L139" i="1" s="1"/>
  <c r="C139" i="1" s="1"/>
  <c r="K138" i="1"/>
  <c r="I139" i="1" l="1"/>
  <c r="K139" i="1"/>
  <c r="K140" i="1"/>
  <c r="I141" i="1" l="1"/>
  <c r="J140" i="1"/>
  <c r="L140" i="1" s="1"/>
  <c r="C140" i="1" s="1"/>
  <c r="I140" i="1"/>
  <c r="K142" i="1" l="1"/>
  <c r="J141" i="1"/>
  <c r="L141" i="1" s="1"/>
  <c r="C141" i="1" s="1"/>
  <c r="K141" i="1"/>
  <c r="I143" i="1" l="1"/>
  <c r="I142" i="1"/>
  <c r="J142" i="1"/>
  <c r="L142" i="1" s="1"/>
  <c r="C142" i="1" s="1"/>
  <c r="K144" i="1" l="1"/>
  <c r="J143" i="1"/>
  <c r="L143" i="1" s="1"/>
  <c r="C143" i="1" s="1"/>
  <c r="K143" i="1"/>
  <c r="I145" i="1" l="1"/>
  <c r="J144" i="1"/>
  <c r="L144" i="1" s="1"/>
  <c r="C144" i="1" s="1"/>
  <c r="I144" i="1"/>
  <c r="K145" i="1" l="1"/>
  <c r="I146" i="1"/>
  <c r="J145" i="1"/>
  <c r="L145" i="1" s="1"/>
  <c r="C145" i="1" s="1"/>
  <c r="K146" i="1" l="1"/>
  <c r="J146" i="1"/>
  <c r="L146" i="1" s="1"/>
  <c r="C146" i="1" s="1"/>
  <c r="I147" i="1"/>
  <c r="K148" i="1" l="1"/>
  <c r="J147" i="1"/>
  <c r="L147" i="1" s="1"/>
  <c r="C147" i="1" s="1"/>
  <c r="K147" i="1"/>
  <c r="I149" i="1" l="1"/>
  <c r="J148" i="1"/>
  <c r="L148" i="1" s="1"/>
  <c r="C148" i="1" s="1"/>
  <c r="I148" i="1"/>
  <c r="K150" i="1" l="1"/>
  <c r="J149" i="1"/>
  <c r="L149" i="1" s="1"/>
  <c r="C149" i="1" s="1"/>
  <c r="K149" i="1"/>
  <c r="I151" i="1" l="1"/>
  <c r="I150" i="1"/>
  <c r="J150" i="1"/>
  <c r="L150" i="1" s="1"/>
  <c r="C150" i="1" s="1"/>
  <c r="K152" i="1" l="1"/>
  <c r="J151" i="1"/>
  <c r="L151" i="1" s="1"/>
  <c r="C151" i="1" s="1"/>
  <c r="K151" i="1"/>
  <c r="I153" i="1" l="1"/>
  <c r="I152" i="1"/>
  <c r="J152" i="1"/>
  <c r="L152" i="1" s="1"/>
  <c r="C152" i="1" s="1"/>
  <c r="K154" i="1" l="1"/>
  <c r="J153" i="1"/>
  <c r="L153" i="1" s="1"/>
  <c r="C153" i="1" s="1"/>
  <c r="K153" i="1"/>
  <c r="I155" i="1" l="1"/>
  <c r="I154" i="1"/>
  <c r="J154" i="1"/>
  <c r="L154" i="1" s="1"/>
  <c r="C154" i="1" s="1"/>
  <c r="K156" i="1" l="1"/>
  <c r="J155" i="1"/>
  <c r="L155" i="1" s="1"/>
  <c r="C155" i="1" s="1"/>
  <c r="K155" i="1"/>
  <c r="I157" i="1" l="1"/>
  <c r="J156" i="1"/>
  <c r="L156" i="1" s="1"/>
  <c r="C156" i="1" s="1"/>
  <c r="I156" i="1"/>
  <c r="K158" i="1" l="1"/>
  <c r="K157" i="1"/>
  <c r="J157" i="1"/>
  <c r="L157" i="1" s="1"/>
  <c r="C157" i="1" s="1"/>
  <c r="I159" i="1" l="1"/>
  <c r="J158" i="1"/>
  <c r="L158" i="1" s="1"/>
  <c r="C158" i="1" s="1"/>
  <c r="I158" i="1"/>
  <c r="K160" i="1" l="1"/>
  <c r="J159" i="1"/>
  <c r="L159" i="1" s="1"/>
  <c r="C159" i="1" s="1"/>
  <c r="K159" i="1"/>
  <c r="I161" i="1" l="1"/>
  <c r="J160" i="1"/>
  <c r="L160" i="1" s="1"/>
  <c r="C160" i="1" s="1"/>
  <c r="I160" i="1"/>
  <c r="K162" i="1" l="1"/>
  <c r="K161" i="1"/>
  <c r="J161" i="1"/>
  <c r="L161" i="1" s="1"/>
  <c r="C161" i="1" s="1"/>
  <c r="I163" i="1" l="1"/>
  <c r="I162" i="1"/>
  <c r="J162" i="1"/>
  <c r="L162" i="1" s="1"/>
  <c r="C162" i="1" s="1"/>
  <c r="K164" i="1" l="1"/>
  <c r="J163" i="1"/>
  <c r="L163" i="1" s="1"/>
  <c r="C163" i="1" s="1"/>
  <c r="K163" i="1"/>
  <c r="J164" i="1"/>
  <c r="L164" i="1" s="1"/>
  <c r="C164" i="1" s="1"/>
  <c r="I164" i="1" l="1"/>
  <c r="I165" i="1"/>
  <c r="J165" i="1"/>
  <c r="L165" i="1" s="1"/>
  <c r="C165" i="1" s="1"/>
  <c r="K165" i="1"/>
  <c r="K166" i="1" l="1"/>
  <c r="I166" i="1"/>
  <c r="J166" i="1"/>
  <c r="L166" i="1" s="1"/>
  <c r="C166" i="1" s="1"/>
  <c r="I167" i="1" l="1"/>
  <c r="J167" i="1"/>
  <c r="L167" i="1" s="1"/>
  <c r="C167" i="1" s="1"/>
  <c r="K167" i="1"/>
  <c r="K168" i="1" l="1"/>
  <c r="J168" i="1"/>
  <c r="L168" i="1" s="1"/>
  <c r="C168" i="1" s="1"/>
  <c r="I168" i="1"/>
  <c r="I169" i="1" l="1"/>
  <c r="J169" i="1"/>
  <c r="L169" i="1" s="1"/>
  <c r="C169" i="1" s="1"/>
  <c r="K169" i="1"/>
  <c r="K170" i="1" l="1"/>
  <c r="I170" i="1"/>
  <c r="J170" i="1"/>
  <c r="L170" i="1" s="1"/>
  <c r="C170" i="1" s="1"/>
  <c r="I171" i="1" l="1"/>
  <c r="J171" i="1"/>
  <c r="L171" i="1" s="1"/>
  <c r="C171" i="1" s="1"/>
  <c r="K171" i="1"/>
  <c r="K172" i="1" l="1"/>
  <c r="J172" i="1"/>
  <c r="L172" i="1" s="1"/>
  <c r="C172" i="1" s="1"/>
  <c r="I172" i="1"/>
  <c r="I173" i="1" l="1"/>
  <c r="J173" i="1"/>
  <c r="L173" i="1" s="1"/>
  <c r="C173" i="1" s="1"/>
  <c r="K173" i="1"/>
  <c r="K174" i="1" l="1"/>
  <c r="I174" i="1"/>
  <c r="J174" i="1"/>
  <c r="L174" i="1" s="1"/>
  <c r="C174" i="1" s="1"/>
  <c r="I175" i="1" l="1"/>
  <c r="J175" i="1"/>
  <c r="L175" i="1" s="1"/>
  <c r="C175" i="1" s="1"/>
  <c r="K175" i="1"/>
  <c r="K176" i="1" l="1"/>
  <c r="J176" i="1"/>
  <c r="L176" i="1" s="1"/>
  <c r="C176" i="1" s="1"/>
  <c r="I176" i="1"/>
  <c r="I177" i="1" l="1"/>
  <c r="J177" i="1"/>
  <c r="L177" i="1" s="1"/>
  <c r="C177" i="1" s="1"/>
  <c r="K177" i="1"/>
  <c r="K178" i="1" l="1"/>
  <c r="I178" i="1"/>
  <c r="J178" i="1"/>
  <c r="L178" i="1" s="1"/>
  <c r="C178" i="1" s="1"/>
  <c r="I179" i="1" l="1"/>
  <c r="J179" i="1"/>
  <c r="L179" i="1" s="1"/>
  <c r="C179" i="1" s="1"/>
  <c r="K179" i="1"/>
  <c r="K180" i="1" l="1"/>
  <c r="J180" i="1"/>
  <c r="L180" i="1" s="1"/>
  <c r="C180" i="1" s="1"/>
  <c r="I180" i="1"/>
  <c r="I181" i="1" l="1"/>
  <c r="J181" i="1"/>
  <c r="L181" i="1" s="1"/>
  <c r="C181" i="1" s="1"/>
  <c r="K181" i="1"/>
  <c r="K182" i="1" l="1"/>
  <c r="I182" i="1"/>
  <c r="J182" i="1"/>
  <c r="L182" i="1" s="1"/>
  <c r="C182" i="1" s="1"/>
  <c r="I183" i="1" l="1"/>
  <c r="J183" i="1"/>
  <c r="L183" i="1" s="1"/>
  <c r="C183" i="1" s="1"/>
  <c r="K183" i="1"/>
  <c r="K184" i="1" l="1"/>
  <c r="J184" i="1"/>
  <c r="L184" i="1" s="1"/>
  <c r="C184" i="1" s="1"/>
  <c r="I184" i="1"/>
  <c r="I185" i="1" l="1"/>
  <c r="J185" i="1"/>
  <c r="L185" i="1" s="1"/>
  <c r="C185" i="1" s="1"/>
  <c r="K185" i="1"/>
  <c r="K186" i="1" l="1"/>
  <c r="I186" i="1"/>
  <c r="J186" i="1"/>
  <c r="L186" i="1" s="1"/>
  <c r="C186" i="1" s="1"/>
  <c r="I187" i="1" l="1"/>
  <c r="K187" i="1"/>
  <c r="J187" i="1"/>
  <c r="L187" i="1" s="1"/>
  <c r="C187" i="1" s="1"/>
  <c r="K188" i="1" l="1"/>
  <c r="J188" i="1"/>
  <c r="L188" i="1" s="1"/>
  <c r="C188" i="1" s="1"/>
  <c r="I188" i="1"/>
  <c r="I189" i="1" l="1"/>
  <c r="K189" i="1"/>
  <c r="J189" i="1"/>
  <c r="L189" i="1" s="1"/>
  <c r="C189" i="1" s="1"/>
  <c r="K190" i="1" l="1"/>
  <c r="J190" i="1"/>
  <c r="L190" i="1" s="1"/>
  <c r="C190" i="1" s="1"/>
  <c r="I190" i="1"/>
  <c r="I191" i="1" l="1"/>
  <c r="K191" i="1"/>
  <c r="J191" i="1"/>
  <c r="L191" i="1" s="1"/>
  <c r="C191" i="1" s="1"/>
  <c r="K192" i="1" l="1"/>
  <c r="J192" i="1"/>
  <c r="L192" i="1" s="1"/>
  <c r="C192" i="1" s="1"/>
  <c r="I192" i="1"/>
  <c r="I193" i="1" l="1"/>
  <c r="K193" i="1"/>
  <c r="J193" i="1"/>
  <c r="L193" i="1" s="1"/>
  <c r="C193" i="1" s="1"/>
  <c r="K194" i="1" l="1"/>
  <c r="J194" i="1"/>
  <c r="L194" i="1" s="1"/>
  <c r="C194" i="1" s="1"/>
  <c r="I194" i="1"/>
  <c r="I195" i="1" l="1"/>
  <c r="K195" i="1"/>
  <c r="J195" i="1"/>
  <c r="L195" i="1" s="1"/>
  <c r="C195" i="1" s="1"/>
  <c r="K196" i="1" l="1"/>
  <c r="J196" i="1"/>
  <c r="L196" i="1" s="1"/>
  <c r="C196" i="1" s="1"/>
  <c r="I196" i="1"/>
  <c r="I197" i="1" l="1"/>
  <c r="K197" i="1"/>
  <c r="J197" i="1"/>
  <c r="L197" i="1" s="1"/>
  <c r="C197" i="1" s="1"/>
  <c r="K198" i="1" l="1"/>
  <c r="J198" i="1"/>
  <c r="L198" i="1" s="1"/>
  <c r="C198" i="1" s="1"/>
  <c r="I198" i="1"/>
  <c r="I199" i="1" l="1"/>
  <c r="I1" i="1" s="1"/>
  <c r="K199" i="1"/>
  <c r="J199" i="1"/>
  <c r="L199" i="1" l="1"/>
  <c r="C199" i="1" s="1"/>
  <c r="J1" i="1"/>
  <c r="K1" i="1" s="1"/>
</calcChain>
</file>

<file path=xl/sharedStrings.xml><?xml version="1.0" encoding="utf-8"?>
<sst xmlns="http://schemas.openxmlformats.org/spreadsheetml/2006/main" count="11" uniqueCount="10">
  <si>
    <t>u</t>
  </si>
  <si>
    <t>x</t>
  </si>
  <si>
    <t>z</t>
  </si>
  <si>
    <t>Parametro Poisson</t>
  </si>
  <si>
    <t>Parametro Reclamaciones</t>
  </si>
  <si>
    <t>Tiempo</t>
  </si>
  <si>
    <t>Llegadas</t>
  </si>
  <si>
    <t>Primas</t>
  </si>
  <si>
    <t>Reclamaciones</t>
  </si>
  <si>
    <t>Capital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</si>
</sst>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 wrapText="1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3" fillId="0" borderId="0" xfId="0" applyFont="1"/>
    <xf numFmtId="0" fontId="2" fillId="0" borderId="0" xfId="0" applyFont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57150</xdr:rowOff>
        </xdr:from>
        <xdr:to>
          <xdr:col>10</xdr:col>
          <xdr:colOff>19050</xdr:colOff>
          <xdr:row>1</xdr:row>
          <xdr:rowOff>66675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Tarea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L200"/>
  <sheetViews>
    <sheetView tabSelected="1" zoomScale="96" zoomScaleNormal="96" workbookViewId="0"/>
  </sheetViews>
  <sheetFormatPr baseColWidth="10" defaultRowHeight="15" x14ac:dyDescent="0.25"/>
  <cols>
    <col min="1" max="1" width="14.140625" bestFit="1" customWidth="1"/>
    <col min="3" max="3" width="11.42578125" style="7"/>
    <col min="7" max="7" width="14.140625" bestFit="1" customWidth="1"/>
  </cols>
  <sheetData>
    <row r="1" spans="1:12" s="7" customFormat="1" x14ac:dyDescent="0.25">
      <c r="A1" s="1" t="s">
        <v>0</v>
      </c>
      <c r="B1">
        <v>6</v>
      </c>
      <c r="D1"/>
      <c r="E1" s="5" t="s">
        <v>5</v>
      </c>
      <c r="F1" s="5" t="s">
        <v>6</v>
      </c>
      <c r="G1" s="4" t="s">
        <v>8</v>
      </c>
      <c r="H1" s="3" t="s">
        <v>9</v>
      </c>
      <c r="I1" s="7">
        <f ca="1">SUM(I2:I199)</f>
        <v>1</v>
      </c>
      <c r="J1" s="7">
        <f ca="1">SUM(J2:J199)</f>
        <v>6.9884864482906659</v>
      </c>
      <c r="K1" s="7">
        <f ca="1">B1+(J1-0.00001)*B7-SUM(K2:K199)</f>
        <v>0.62368817484991013</v>
      </c>
    </row>
    <row r="2" spans="1:12" s="7" customFormat="1" x14ac:dyDescent="0.25">
      <c r="A2" s="1" t="s">
        <v>2</v>
      </c>
      <c r="B2">
        <v>1</v>
      </c>
      <c r="C2" s="7">
        <f ca="1">L2</f>
        <v>0.17326648932847116</v>
      </c>
      <c r="D2" s="7">
        <f ca="1">INT(E2)</f>
        <v>0</v>
      </c>
      <c r="E2">
        <f ca="1">invexp($B$4)</f>
        <v>0.17326648932847116</v>
      </c>
      <c r="F2">
        <f ca="1">COUNT(E2:E1048576)</f>
        <v>43</v>
      </c>
      <c r="G2">
        <f ca="1">IF(E2="","",invexp($B$5))</f>
        <v>1.045934820122097</v>
      </c>
      <c r="H2">
        <f ca="1">$B$1+B7*D2-G2</f>
        <v>4.9540651798779027</v>
      </c>
      <c r="I2" s="7">
        <f ca="1">IF(H2&lt;-$B$2,1,0)</f>
        <v>0</v>
      </c>
      <c r="J2" s="7">
        <f ca="1">E2</f>
        <v>0.17326648932847116</v>
      </c>
      <c r="K2" s="7">
        <f ca="1">IF(H2="","",G2)</f>
        <v>1.045934820122097</v>
      </c>
      <c r="L2" s="7">
        <f ca="1">J2</f>
        <v>0.17326648932847116</v>
      </c>
    </row>
    <row r="3" spans="1:12" s="7" customFormat="1" x14ac:dyDescent="0.25">
      <c r="A3" s="8" t="s">
        <v>1</v>
      </c>
      <c r="B3" s="6">
        <v>3</v>
      </c>
      <c r="C3" s="7">
        <f t="shared" ref="C3:C66" ca="1" si="0">L3</f>
        <v>0.62262770514922106</v>
      </c>
      <c r="D3" s="7">
        <f ca="1">IF(E3="","",INT(SUM($E$2:E3)))</f>
        <v>0</v>
      </c>
      <c r="E3">
        <f ca="1">IF(E2&lt;$B$6,invexp($B$4),"")</f>
        <v>0.44936121582074989</v>
      </c>
      <c r="F3"/>
      <c r="G3">
        <f ca="1">IF(E3="","",invexp($B$5))</f>
        <v>0.65547541740949034</v>
      </c>
      <c r="H3">
        <f ca="1">IF(H2="","",IF(H2&lt;0,"",IF(E3="","",$B$1+D3*$B$7-SUM($G$2:G3))))</f>
        <v>4.2985897624684126</v>
      </c>
      <c r="I3" s="7">
        <f t="shared" ref="I3:I66" ca="1" si="1">IF(H3&lt;-$B$2,1,0)</f>
        <v>0</v>
      </c>
      <c r="J3" s="7">
        <f ca="1">IF(H3="","",E3)</f>
        <v>0.44936121582074989</v>
      </c>
      <c r="K3" s="7">
        <f t="shared" ref="K3:K66" ca="1" si="2">IF(H3="","",G3)</f>
        <v>0.65547541740949034</v>
      </c>
      <c r="L3" s="7">
        <f ca="1">IF(J3="","",SUM($J$2:J3))</f>
        <v>0.62262770514922106</v>
      </c>
    </row>
    <row r="4" spans="1:12" s="7" customFormat="1" ht="30" x14ac:dyDescent="0.25">
      <c r="A4" s="2" t="s">
        <v>3</v>
      </c>
      <c r="B4">
        <v>2</v>
      </c>
      <c r="C4" s="7">
        <f ca="1">L4</f>
        <v>2.3813919275551267</v>
      </c>
      <c r="D4" s="7">
        <f ca="1">IF(E4="","",INT(SUM($E$2:E4)))</f>
        <v>2</v>
      </c>
      <c r="E4">
        <f ca="1">IF(SUM($E$2:E3)&lt;$B$6,invexp($B$4),"")</f>
        <v>1.7587642224059057</v>
      </c>
      <c r="F4"/>
      <c r="G4">
        <f ca="1">IF(E4="","",invexp($B$5))</f>
        <v>0.27553535713524147</v>
      </c>
      <c r="H4">
        <f ca="1">IF(H3="","",IF(H3&lt;0,"",IF(E4="","",$B$1+D4*$B$7-SUM($G$2:G4))))</f>
        <v>8.0230544053331716</v>
      </c>
      <c r="I4" s="7">
        <f t="shared" ca="1" si="1"/>
        <v>0</v>
      </c>
      <c r="J4" s="7">
        <f t="shared" ref="J4:J66" ca="1" si="3">IF(H4="","",E4)</f>
        <v>1.7587642224059057</v>
      </c>
      <c r="K4" s="7">
        <f t="shared" ca="1" si="2"/>
        <v>0.27553535713524147</v>
      </c>
      <c r="L4" s="7">
        <f ca="1">IF(J4="","",SUM($J$2:J4))</f>
        <v>2.3813919275551267</v>
      </c>
    </row>
    <row r="5" spans="1:12" s="7" customFormat="1" ht="30" x14ac:dyDescent="0.25">
      <c r="A5" s="2" t="s">
        <v>4</v>
      </c>
      <c r="B5">
        <v>0.8</v>
      </c>
      <c r="C5" s="7">
        <f t="shared" ca="1" si="0"/>
        <v>3.9920245810499133</v>
      </c>
      <c r="D5" s="7">
        <f ca="1">IF(E5="","",INT(SUM($E$2:E5)))</f>
        <v>3</v>
      </c>
      <c r="E5">
        <f ca="1">IF(SUM($E$2:E4)&lt;$B$6,invexp($B$4),"")</f>
        <v>1.6106326534947866</v>
      </c>
      <c r="F5"/>
      <c r="G5">
        <f ca="1">IF(E5="","",invexp($B$5))</f>
        <v>1.5266827118205417</v>
      </c>
      <c r="H5">
        <f ca="1">IF(H4="","",IF(H4&lt;0,"",IF(E5="","",$B$1+D5*$B$7-SUM($G$2:G5))))</f>
        <v>8.4963716935126286</v>
      </c>
      <c r="I5" s="7">
        <f t="shared" ca="1" si="1"/>
        <v>0</v>
      </c>
      <c r="J5" s="7">
        <f t="shared" ca="1" si="3"/>
        <v>1.6106326534947866</v>
      </c>
      <c r="K5" s="7">
        <f t="shared" ca="1" si="2"/>
        <v>1.5266827118205417</v>
      </c>
      <c r="L5" s="7">
        <f ca="1">IF(J5="","",SUM($J$2:J5))</f>
        <v>3.9920245810499133</v>
      </c>
    </row>
    <row r="6" spans="1:12" s="7" customFormat="1" x14ac:dyDescent="0.25">
      <c r="A6" s="3" t="s">
        <v>5</v>
      </c>
      <c r="B6">
        <v>20</v>
      </c>
      <c r="C6" s="7">
        <f t="shared" ca="1" si="0"/>
        <v>4.7411831494513423</v>
      </c>
      <c r="D6" s="7">
        <f ca="1">IF(E6="","",INT(SUM($E$2:E6)))</f>
        <v>4</v>
      </c>
      <c r="E6">
        <f ca="1">IF(SUM($E$2:E5)&lt;$B$6,invexp($B$4),"")</f>
        <v>0.74915856840142936</v>
      </c>
      <c r="F6"/>
      <c r="G6">
        <f ca="1">IF(E6="","",invexp($B$5))</f>
        <v>0.73651243925836574</v>
      </c>
      <c r="H6">
        <f ca="1">IF(H5="","",IF(H5&lt;0,"",IF(E6="","",$B$1+D6*$B$7-SUM($G$2:G6))))</f>
        <v>9.7598592542542626</v>
      </c>
      <c r="I6" s="7">
        <f t="shared" ca="1" si="1"/>
        <v>0</v>
      </c>
      <c r="J6" s="7">
        <f t="shared" ca="1" si="3"/>
        <v>0.74915856840142936</v>
      </c>
      <c r="K6" s="7">
        <f t="shared" ca="1" si="2"/>
        <v>0.73651243925836574</v>
      </c>
      <c r="L6" s="7">
        <f ca="1">IF(J6="","",SUM($J$2:J6))</f>
        <v>4.7411831494513423</v>
      </c>
    </row>
    <row r="7" spans="1:12" s="7" customFormat="1" x14ac:dyDescent="0.25">
      <c r="A7" s="3" t="s">
        <v>7</v>
      </c>
      <c r="B7">
        <v>2</v>
      </c>
      <c r="C7" s="7">
        <f t="shared" ca="1" si="0"/>
        <v>5.3831280894128746</v>
      </c>
      <c r="D7" s="7">
        <f ca="1">IF(E7="","",INT(SUM($E$2:E7)))</f>
        <v>5</v>
      </c>
      <c r="E7">
        <f ca="1">IF(SUM($E$2:E6)&lt;$B$6,invexp($B$4),"")</f>
        <v>0.64194493996153201</v>
      </c>
      <c r="F7"/>
      <c r="G7">
        <f ca="1">IF(E7="","",invexp($B$5))</f>
        <v>3.0910861538704815</v>
      </c>
      <c r="H7">
        <f ca="1">IF(H6="","",IF(H6&lt;0,"",IF(E7="","",$B$1+D7*$B$7-SUM($G$2:G7))))</f>
        <v>8.6687731003837811</v>
      </c>
      <c r="I7" s="7">
        <f t="shared" ca="1" si="1"/>
        <v>0</v>
      </c>
      <c r="J7" s="7">
        <f t="shared" ca="1" si="3"/>
        <v>0.64194493996153201</v>
      </c>
      <c r="K7" s="7">
        <f t="shared" ca="1" si="2"/>
        <v>3.0910861538704815</v>
      </c>
      <c r="L7" s="7">
        <f ca="1">IF(J7="","",SUM($J$2:J7))</f>
        <v>5.3831280894128746</v>
      </c>
    </row>
    <row r="8" spans="1:12" s="7" customFormat="1" x14ac:dyDescent="0.25">
      <c r="A8"/>
      <c r="B8"/>
      <c r="C8" s="7">
        <f t="shared" ca="1" si="0"/>
        <v>5.6292147424015964</v>
      </c>
      <c r="D8" s="7">
        <f ca="1">IF(E8="","",INT(SUM($E$2:E8)))</f>
        <v>5</v>
      </c>
      <c r="E8">
        <f ca="1">IF(SUM($E$2:E7)&lt;$B$6,invexp($B$4),"")</f>
        <v>0.24608665298872198</v>
      </c>
      <c r="F8"/>
      <c r="G8">
        <f ca="1">IF(E8="","",invexp($B$5))</f>
        <v>3.4716160004974288</v>
      </c>
      <c r="H8">
        <f ca="1">IF(H7="","",IF(H7&lt;0,"",IF(E8="","",$B$1+D8*$B$7-SUM($G$2:G8))))</f>
        <v>5.1971570998863541</v>
      </c>
      <c r="I8" s="7">
        <f t="shared" ca="1" si="1"/>
        <v>0</v>
      </c>
      <c r="J8" s="7">
        <f t="shared" ca="1" si="3"/>
        <v>0.24608665298872198</v>
      </c>
      <c r="K8" s="7">
        <f t="shared" ca="1" si="2"/>
        <v>3.4716160004974288</v>
      </c>
      <c r="L8" s="7">
        <f ca="1">IF(J8="","",SUM($J$2:J8))</f>
        <v>5.6292147424015964</v>
      </c>
    </row>
    <row r="9" spans="1:12" s="7" customFormat="1" x14ac:dyDescent="0.25">
      <c r="A9"/>
      <c r="B9"/>
      <c r="C9" s="7">
        <f t="shared" ca="1" si="0"/>
        <v>5.7409198565254691</v>
      </c>
      <c r="D9" s="7">
        <f ca="1">IF(E9="","",INT(SUM($E$2:E9)))</f>
        <v>5</v>
      </c>
      <c r="E9">
        <f ca="1">IF(SUM($E$2:E8)&lt;$B$6,invexp($B$4),"")</f>
        <v>0.11170511412387263</v>
      </c>
      <c r="F9"/>
      <c r="G9">
        <f ca="1">IF(E9="","",invexp($B$5))</f>
        <v>1.6458983479884883</v>
      </c>
      <c r="H9">
        <f ca="1">IF(H8="","",IF(H8&lt;0,"",IF(E9="","",$B$1+D9*$B$7-SUM($G$2:G9))))</f>
        <v>3.5512587518978656</v>
      </c>
      <c r="I9" s="7">
        <f t="shared" ca="1" si="1"/>
        <v>0</v>
      </c>
      <c r="J9" s="7">
        <f t="shared" ca="1" si="3"/>
        <v>0.11170511412387263</v>
      </c>
      <c r="K9" s="7">
        <f t="shared" ca="1" si="2"/>
        <v>1.6458983479884883</v>
      </c>
      <c r="L9" s="7">
        <f ca="1">IF(J9="","",SUM($J$2:J9))</f>
        <v>5.7409198565254691</v>
      </c>
    </row>
    <row r="10" spans="1:12" s="7" customFormat="1" x14ac:dyDescent="0.25">
      <c r="A10"/>
      <c r="B10"/>
      <c r="C10" s="7">
        <f t="shared" ca="1" si="0"/>
        <v>5.9870940769476766</v>
      </c>
      <c r="D10" s="7">
        <f ca="1">IF(E10="","",INT(SUM($E$2:E10)))</f>
        <v>5</v>
      </c>
      <c r="E10">
        <f ca="1">IF(SUM($E$2:E9)&lt;$B$6,invexp($B$4),"")</f>
        <v>0.24617422042220782</v>
      </c>
      <c r="F10"/>
      <c r="G10">
        <f ca="1">IF(E10="","",invexp($B$5))</f>
        <v>1.657503774826377</v>
      </c>
      <c r="H10">
        <f ca="1">IF(H9="","",IF(H9&lt;0,"",IF(E10="","",$B$1+D10*$B$7-SUM($G$2:G10))))</f>
        <v>1.8937549770714881</v>
      </c>
      <c r="I10" s="7">
        <f t="shared" ca="1" si="1"/>
        <v>0</v>
      </c>
      <c r="J10" s="7">
        <f t="shared" ca="1" si="3"/>
        <v>0.24617422042220782</v>
      </c>
      <c r="K10" s="7">
        <f t="shared" ca="1" si="2"/>
        <v>1.657503774826377</v>
      </c>
      <c r="L10" s="7">
        <f ca="1">IF(J10="","",SUM($J$2:J10))</f>
        <v>5.9870940769476766</v>
      </c>
    </row>
    <row r="11" spans="1:12" s="7" customFormat="1" x14ac:dyDescent="0.25">
      <c r="A11"/>
      <c r="B11"/>
      <c r="C11" s="7">
        <f t="shared" ca="1" si="0"/>
        <v>6.3877659548887804</v>
      </c>
      <c r="D11" s="7">
        <f ca="1">IF(E11="","",INT(SUM($E$2:E11)))</f>
        <v>6</v>
      </c>
      <c r="E11">
        <f ca="1">IF(SUM($E$2:E10)&lt;$B$6,invexp($B$4),"")</f>
        <v>0.40067187794110415</v>
      </c>
      <c r="F11"/>
      <c r="G11">
        <f ca="1">IF(E11="","",invexp($B$5))</f>
        <v>3.7293043315985708</v>
      </c>
      <c r="H11">
        <f ca="1">IF(H10="","",IF(H10&lt;0,"",IF(E11="","",$B$1+D11*$B$7-SUM($G$2:G11))))</f>
        <v>0.16445064547291821</v>
      </c>
      <c r="I11" s="7">
        <f t="shared" ca="1" si="1"/>
        <v>0</v>
      </c>
      <c r="J11" s="7">
        <f t="shared" ca="1" si="3"/>
        <v>0.40067187794110415</v>
      </c>
      <c r="K11" s="7">
        <f t="shared" ca="1" si="2"/>
        <v>3.7293043315985708</v>
      </c>
      <c r="L11" s="7">
        <f ca="1">IF(J11="","",SUM($J$2:J11))</f>
        <v>6.3877659548887804</v>
      </c>
    </row>
    <row r="12" spans="1:12" s="7" customFormat="1" x14ac:dyDescent="0.25">
      <c r="A12"/>
      <c r="B12"/>
      <c r="C12" s="7">
        <f t="shared" ca="1" si="0"/>
        <v>6.9884864482906659</v>
      </c>
      <c r="D12" s="7">
        <f ca="1">IF(E12="","",INT(SUM($E$2:E12)))</f>
        <v>6</v>
      </c>
      <c r="E12">
        <f ca="1">IF(SUM($E$2:E11)&lt;$B$6,invexp($B$4),"")</f>
        <v>0.60072049340188582</v>
      </c>
      <c r="F12"/>
      <c r="G12">
        <f ca="1">IF(E12="","",invexp($B$5))</f>
        <v>1.5177153672043404</v>
      </c>
      <c r="H12">
        <f ca="1">IF(H11="","",IF(H11&lt;0,"",IF(E12="","",$B$1+D12*$B$7-SUM($G$2:G12))))</f>
        <v>-1.3532647217314207</v>
      </c>
      <c r="I12" s="7">
        <f t="shared" ca="1" si="1"/>
        <v>1</v>
      </c>
      <c r="J12" s="7">
        <f t="shared" ca="1" si="3"/>
        <v>0.60072049340188582</v>
      </c>
      <c r="K12" s="7">
        <f t="shared" ca="1" si="2"/>
        <v>1.5177153672043404</v>
      </c>
      <c r="L12" s="7">
        <f ca="1">IF(J12="","",SUM($J$2:J12))</f>
        <v>6.9884864482906659</v>
      </c>
    </row>
    <row r="13" spans="1:12" s="7" customFormat="1" x14ac:dyDescent="0.25">
      <c r="A13"/>
      <c r="B13"/>
      <c r="C13" s="7" t="str">
        <f t="shared" ca="1" si="0"/>
        <v/>
      </c>
      <c r="D13" s="7">
        <f ca="1">IF(E13="","",INT(SUM($E$2:E13)))</f>
        <v>7</v>
      </c>
      <c r="E13">
        <f ca="1">IF(SUM($E$2:E12)&lt;$B$6,invexp($B$4),"")</f>
        <v>6.2378513861551313E-2</v>
      </c>
      <c r="F13"/>
      <c r="G13">
        <f ca="1">IF(E13="","",invexp($B$5))</f>
        <v>0.42172043373509088</v>
      </c>
      <c r="H13" t="str">
        <f ca="1">IF(H12="","",IF(H12&lt;0,"",IF(E13="","",$B$1+D13*$B$7-SUM($G$2:G13))))</f>
        <v/>
      </c>
      <c r="I13" s="7">
        <f ca="1">IF(H13&lt;-$B$2,1,0)</f>
        <v>0</v>
      </c>
      <c r="J13" s="7" t="str">
        <f t="shared" ca="1" si="3"/>
        <v/>
      </c>
      <c r="K13" s="7" t="str">
        <f t="shared" ca="1" si="2"/>
        <v/>
      </c>
      <c r="L13" s="7" t="str">
        <f ca="1">IF(J13="","",SUM($J$2:J13))</f>
        <v/>
      </c>
    </row>
    <row r="14" spans="1:12" s="7" customFormat="1" x14ac:dyDescent="0.25">
      <c r="A14"/>
      <c r="B14"/>
      <c r="C14" s="7" t="str">
        <f t="shared" ca="1" si="0"/>
        <v/>
      </c>
      <c r="D14" s="7">
        <f ca="1">IF(E14="","",INT(SUM($E$2:E14)))</f>
        <v>7</v>
      </c>
      <c r="E14">
        <f ca="1">IF(SUM($E$2:E13)&lt;$B$6,invexp($B$4),"")</f>
        <v>0.13148417759697895</v>
      </c>
      <c r="F14"/>
      <c r="G14">
        <f ca="1">IF(E14="","",invexp($B$5))</f>
        <v>4.7623748072809464</v>
      </c>
      <c r="H14" t="str">
        <f ca="1">IF(H13="","",IF(H13&lt;0,"",IF(E14="","",$B$1+D14*$B$7-SUM($G$2:G14))))</f>
        <v/>
      </c>
      <c r="I14" s="7">
        <f t="shared" ca="1" si="1"/>
        <v>0</v>
      </c>
      <c r="J14" s="7" t="str">
        <f t="shared" ca="1" si="3"/>
        <v/>
      </c>
      <c r="K14" s="7" t="str">
        <f t="shared" ca="1" si="2"/>
        <v/>
      </c>
      <c r="L14" s="7" t="str">
        <f ca="1">IF(J14="","",SUM($J$2:J14))</f>
        <v/>
      </c>
    </row>
    <row r="15" spans="1:12" s="7" customFormat="1" x14ac:dyDescent="0.25">
      <c r="A15"/>
      <c r="B15"/>
      <c r="C15" s="7" t="str">
        <f t="shared" ca="1" si="0"/>
        <v/>
      </c>
      <c r="D15" s="7">
        <f ca="1">IF(E15="","",INT(SUM($E$2:E15)))</f>
        <v>7</v>
      </c>
      <c r="E15">
        <f ca="1">IF(SUM($E$2:E14)&lt;$B$6,invexp($B$4),"")</f>
        <v>0.10031735738611727</v>
      </c>
      <c r="F15"/>
      <c r="G15">
        <f ca="1">IF(E15="","",invexp($B$5))</f>
        <v>1.4091947923675432</v>
      </c>
      <c r="H15" t="str">
        <f ca="1">IF(H14="","",IF(H14&lt;0,"",IF(E15="","",$B$1+D15*$B$7-SUM($G$2:G15))))</f>
        <v/>
      </c>
      <c r="I15" s="7">
        <f t="shared" ca="1" si="1"/>
        <v>0</v>
      </c>
      <c r="J15" s="7" t="str">
        <f t="shared" ca="1" si="3"/>
        <v/>
      </c>
      <c r="K15" s="7" t="str">
        <f t="shared" ca="1" si="2"/>
        <v/>
      </c>
      <c r="L15" s="7" t="str">
        <f ca="1">IF(J15="","",SUM($J$2:J15))</f>
        <v/>
      </c>
    </row>
    <row r="16" spans="1:12" s="7" customFormat="1" x14ac:dyDescent="0.25">
      <c r="A16"/>
      <c r="B16"/>
      <c r="C16" s="7" t="str">
        <f t="shared" ca="1" si="0"/>
        <v/>
      </c>
      <c r="D16" s="7">
        <f ca="1">IF(E16="","",INT(SUM($E$2:E16)))</f>
        <v>7</v>
      </c>
      <c r="E16">
        <f ca="1">IF(SUM($E$2:E15)&lt;$B$6,invexp($B$4),"")</f>
        <v>0.41302269884854981</v>
      </c>
      <c r="F16"/>
      <c r="G16">
        <f ca="1">IF(E16="","",invexp($B$5))</f>
        <v>1.6560279226006447</v>
      </c>
      <c r="H16" t="str">
        <f ca="1">IF(H15="","",IF(H15&lt;0,"",IF(E16="","",$B$1+D16*$B$7-SUM($G$2:G16))))</f>
        <v/>
      </c>
      <c r="I16" s="7">
        <f t="shared" ca="1" si="1"/>
        <v>0</v>
      </c>
      <c r="J16" s="7" t="str">
        <f t="shared" ca="1" si="3"/>
        <v/>
      </c>
      <c r="K16" s="7" t="str">
        <f t="shared" ca="1" si="2"/>
        <v/>
      </c>
      <c r="L16" s="7" t="str">
        <f ca="1">IF(J16="","",SUM($J$2:J16))</f>
        <v/>
      </c>
    </row>
    <row r="17" spans="1:12" s="7" customFormat="1" x14ac:dyDescent="0.25">
      <c r="A17"/>
      <c r="B17"/>
      <c r="C17" s="7" t="str">
        <f t="shared" ca="1" si="0"/>
        <v/>
      </c>
      <c r="D17" s="7">
        <f ca="1">IF(E17="","",INT(SUM($E$2:E17)))</f>
        <v>8</v>
      </c>
      <c r="E17">
        <f ca="1">IF(SUM($E$2:E16)&lt;$B$6,invexp($B$4),"")</f>
        <v>1.2330544713274396</v>
      </c>
      <c r="F17"/>
      <c r="G17">
        <f ca="1">IF(E17="","",invexp($B$5))</f>
        <v>1.589555349751965</v>
      </c>
      <c r="H17" t="str">
        <f ca="1">IF(H16="","",IF(H16&lt;0,"",IF(E17="","",$B$1+D17*$B$7-SUM($G$2:G17))))</f>
        <v/>
      </c>
      <c r="I17" s="7">
        <f t="shared" ca="1" si="1"/>
        <v>0</v>
      </c>
      <c r="J17" s="7" t="str">
        <f t="shared" ca="1" si="3"/>
        <v/>
      </c>
      <c r="K17" s="7" t="str">
        <f t="shared" ca="1" si="2"/>
        <v/>
      </c>
      <c r="L17" s="7" t="str">
        <f ca="1">IF(J17="","",SUM($J$2:J17))</f>
        <v/>
      </c>
    </row>
    <row r="18" spans="1:12" s="7" customFormat="1" x14ac:dyDescent="0.25">
      <c r="A18"/>
      <c r="B18"/>
      <c r="C18" s="7" t="str">
        <f t="shared" ca="1" si="0"/>
        <v/>
      </c>
      <c r="D18" s="7">
        <f ca="1">IF(E18="","",INT(SUM($E$2:E18)))</f>
        <v>10</v>
      </c>
      <c r="E18">
        <f ca="1">IF(SUM($E$2:E17)&lt;$B$6,invexp($B$4),"")</f>
        <v>1.512512309465764</v>
      </c>
      <c r="F18"/>
      <c r="G18">
        <f ca="1">IF(E18="","",invexp($B$5))</f>
        <v>2.8718340068873869</v>
      </c>
      <c r="H18" t="str">
        <f ca="1">IF(H17="","",IF(H17&lt;0,"",IF(E18="","",$B$1+D18*$B$7-SUM($G$2:G18))))</f>
        <v/>
      </c>
      <c r="I18" s="7">
        <f t="shared" ca="1" si="1"/>
        <v>0</v>
      </c>
      <c r="J18" s="7" t="str">
        <f t="shared" ca="1" si="3"/>
        <v/>
      </c>
      <c r="K18" s="7" t="str">
        <f t="shared" ca="1" si="2"/>
        <v/>
      </c>
      <c r="L18" s="7" t="str">
        <f ca="1">IF(J18="","",SUM($J$2:J18))</f>
        <v/>
      </c>
    </row>
    <row r="19" spans="1:12" s="7" customFormat="1" x14ac:dyDescent="0.25">
      <c r="A19"/>
      <c r="B19"/>
      <c r="C19" s="7" t="str">
        <f t="shared" ca="1" si="0"/>
        <v/>
      </c>
      <c r="D19" s="7">
        <f ca="1">IF(E19="","",INT(SUM($E$2:E19)))</f>
        <v>10</v>
      </c>
      <c r="E19">
        <f ca="1">IF(SUM($E$2:E18)&lt;$B$6,invexp($B$4),"")</f>
        <v>0.14863879010355885</v>
      </c>
      <c r="F19"/>
      <c r="G19">
        <f ca="1">IF(E19="","",invexp($B$5))</f>
        <v>0.19177970928230847</v>
      </c>
      <c r="H19" t="str">
        <f ca="1">IF(H18="","",IF(H18&lt;0,"",IF(E19="","",$B$1+D19*$B$7-SUM($G$2:G19))))</f>
        <v/>
      </c>
      <c r="I19" s="7">
        <f t="shared" ca="1" si="1"/>
        <v>0</v>
      </c>
      <c r="J19" s="7" t="str">
        <f t="shared" ca="1" si="3"/>
        <v/>
      </c>
      <c r="K19" s="7" t="str">
        <f t="shared" ca="1" si="2"/>
        <v/>
      </c>
      <c r="L19" s="7" t="str">
        <f ca="1">IF(J19="","",SUM($J$2:J19))</f>
        <v/>
      </c>
    </row>
    <row r="20" spans="1:12" s="7" customFormat="1" x14ac:dyDescent="0.25">
      <c r="A20"/>
      <c r="B20"/>
      <c r="C20" s="7" t="str">
        <f t="shared" ca="1" si="0"/>
        <v/>
      </c>
      <c r="D20" s="7">
        <f ca="1">IF(E20="","",INT(SUM($E$2:E20)))</f>
        <v>10</v>
      </c>
      <c r="E20">
        <f ca="1">IF(SUM($E$2:E19)&lt;$B$6,invexp($B$4),"")</f>
        <v>0.37119675088587661</v>
      </c>
      <c r="F20"/>
      <c r="G20">
        <f ca="1">IF(E20="","",invexp($B$5))</f>
        <v>1.6752254650098837E-2</v>
      </c>
      <c r="H20" t="str">
        <f ca="1">IF(H19="","",IF(H19&lt;0,"",IF(E20="","",$B$1+D20*$B$7-SUM($G$2:G20))))</f>
        <v/>
      </c>
      <c r="I20" s="7">
        <f t="shared" ca="1" si="1"/>
        <v>0</v>
      </c>
      <c r="J20" s="7" t="str">
        <f t="shared" ca="1" si="3"/>
        <v/>
      </c>
      <c r="K20" s="7" t="str">
        <f t="shared" ca="1" si="2"/>
        <v/>
      </c>
      <c r="L20" s="7" t="str">
        <f ca="1">IF(J20="","",SUM($J$2:J20))</f>
        <v/>
      </c>
    </row>
    <row r="21" spans="1:12" s="7" customFormat="1" x14ac:dyDescent="0.25">
      <c r="A21"/>
      <c r="B21"/>
      <c r="C21" s="7" t="str">
        <f t="shared" ca="1" si="0"/>
        <v/>
      </c>
      <c r="D21" s="7">
        <f ca="1">IF(E21="","",INT(SUM($E$2:E21)))</f>
        <v>11</v>
      </c>
      <c r="E21">
        <f ca="1">IF(SUM($E$2:E20)&lt;$B$6,invexp($B$4),"")</f>
        <v>0.46935798914744764</v>
      </c>
      <c r="F21"/>
      <c r="G21">
        <f ca="1">IF(E21="","",invexp($B$5))</f>
        <v>0.60874092264017488</v>
      </c>
      <c r="H21" t="str">
        <f ca="1">IF(H20="","",IF(H20&lt;0,"",IF(E21="","",$B$1+D21*$B$7-SUM($G$2:G21))))</f>
        <v/>
      </c>
      <c r="I21" s="7">
        <f t="shared" ca="1" si="1"/>
        <v>0</v>
      </c>
      <c r="J21" s="7" t="str">
        <f t="shared" ca="1" si="3"/>
        <v/>
      </c>
      <c r="K21" s="7" t="str">
        <f t="shared" ca="1" si="2"/>
        <v/>
      </c>
      <c r="L21" s="7" t="str">
        <f ca="1">IF(J21="","",SUM($J$2:J21))</f>
        <v/>
      </c>
    </row>
    <row r="22" spans="1:12" s="7" customFormat="1" x14ac:dyDescent="0.25">
      <c r="A22"/>
      <c r="B22"/>
      <c r="C22" s="7" t="str">
        <f t="shared" ca="1" si="0"/>
        <v/>
      </c>
      <c r="D22" s="7">
        <f ca="1">IF(E22="","",INT(SUM($E$2:E22)))</f>
        <v>11</v>
      </c>
      <c r="E22">
        <f ca="1">IF(SUM($E$2:E21)&lt;$B$6,invexp($B$4),"")</f>
        <v>1.6145727751483083E-2</v>
      </c>
      <c r="F22"/>
      <c r="G22">
        <f ca="1">IF(E22="","",invexp($B$5))</f>
        <v>0.79768891943182274</v>
      </c>
      <c r="H22" t="str">
        <f ca="1">IF(H21="","",IF(H21&lt;0,"",IF(E22="","",$B$1+D22*$B$7-SUM($G$2:G22))))</f>
        <v/>
      </c>
      <c r="I22" s="7">
        <f t="shared" ca="1" si="1"/>
        <v>0</v>
      </c>
      <c r="J22" s="7" t="str">
        <f t="shared" ca="1" si="3"/>
        <v/>
      </c>
      <c r="K22" s="7" t="str">
        <f t="shared" ca="1" si="2"/>
        <v/>
      </c>
      <c r="L22" s="7" t="str">
        <f ca="1">IF(J22="","",SUM($J$2:J22))</f>
        <v/>
      </c>
    </row>
    <row r="23" spans="1:12" s="7" customFormat="1" x14ac:dyDescent="0.25">
      <c r="A23"/>
      <c r="B23"/>
      <c r="C23" s="7" t="str">
        <f t="shared" ca="1" si="0"/>
        <v/>
      </c>
      <c r="D23" s="7">
        <f ca="1">IF(E23="","",INT(SUM($E$2:E23)))</f>
        <v>11</v>
      </c>
      <c r="E23">
        <f ca="1">IF(SUM($E$2:E22)&lt;$B$6,invexp($B$4),"")</f>
        <v>6.8561766641564116E-3</v>
      </c>
      <c r="F23"/>
      <c r="G23">
        <f ca="1">IF(E23="","",invexp($B$5))</f>
        <v>0.34336138978315861</v>
      </c>
      <c r="H23" t="str">
        <f ca="1">IF(H22="","",IF(H22&lt;0,"",IF(E23="","",$B$1+D23*$B$7-SUM($G$2:G23))))</f>
        <v/>
      </c>
      <c r="I23" s="7">
        <f t="shared" ca="1" si="1"/>
        <v>0</v>
      </c>
      <c r="J23" s="7" t="str">
        <f t="shared" ca="1" si="3"/>
        <v/>
      </c>
      <c r="K23" s="7" t="str">
        <f t="shared" ca="1" si="2"/>
        <v/>
      </c>
      <c r="L23" s="7" t="str">
        <f ca="1">IF(J23="","",SUM($J$2:J23))</f>
        <v/>
      </c>
    </row>
    <row r="24" spans="1:12" s="7" customFormat="1" x14ac:dyDescent="0.25">
      <c r="A24"/>
      <c r="B24"/>
      <c r="C24" s="7" t="str">
        <f t="shared" ca="1" si="0"/>
        <v/>
      </c>
      <c r="D24" s="7">
        <f ca="1">IF(E24="","",INT(SUM($E$2:E24)))</f>
        <v>12</v>
      </c>
      <c r="E24">
        <f ca="1">IF(SUM($E$2:E23)&lt;$B$6,invexp($B$4),"")</f>
        <v>0.58764610233873049</v>
      </c>
      <c r="F24"/>
      <c r="G24">
        <f ca="1">IF(E24="","",invexp($B$5))</f>
        <v>2.6834474568378712</v>
      </c>
      <c r="H24" t="str">
        <f ca="1">IF(H23="","",IF(H23&lt;0,"",IF(E24="","",$B$1+D24*$B$7-SUM($G$2:G24))))</f>
        <v/>
      </c>
      <c r="I24" s="7">
        <f t="shared" ca="1" si="1"/>
        <v>0</v>
      </c>
      <c r="J24" s="7" t="str">
        <f t="shared" ca="1" si="3"/>
        <v/>
      </c>
      <c r="K24" s="7" t="str">
        <f t="shared" ca="1" si="2"/>
        <v/>
      </c>
      <c r="L24" s="7" t="str">
        <f ca="1">IF(J24="","",SUM($J$2:J24))</f>
        <v/>
      </c>
    </row>
    <row r="25" spans="1:12" s="7" customFormat="1" x14ac:dyDescent="0.25">
      <c r="A25"/>
      <c r="B25"/>
      <c r="C25" s="7" t="str">
        <f t="shared" ca="1" si="0"/>
        <v/>
      </c>
      <c r="D25" s="7">
        <f ca="1">IF(E25="","",INT(SUM($E$2:E25)))</f>
        <v>13</v>
      </c>
      <c r="E25">
        <f ca="1">IF(SUM($E$2:E24)&lt;$B$6,invexp($B$4),"")</f>
        <v>0.98207035676025367</v>
      </c>
      <c r="F25"/>
      <c r="G25">
        <f ca="1">IF(E25="","",invexp($B$5))</f>
        <v>3.1359569006501675</v>
      </c>
      <c r="H25" t="str">
        <f ca="1">IF(H24="","",IF(H24&lt;0,"",IF(E25="","",$B$1+D25*$B$7-SUM($G$2:G25))))</f>
        <v/>
      </c>
      <c r="I25" s="7">
        <f t="shared" ca="1" si="1"/>
        <v>0</v>
      </c>
      <c r="J25" s="7" t="str">
        <f t="shared" ca="1" si="3"/>
        <v/>
      </c>
      <c r="K25" s="7" t="str">
        <f t="shared" ca="1" si="2"/>
        <v/>
      </c>
      <c r="L25" s="7" t="str">
        <f ca="1">IF(J25="","",SUM($J$2:J25))</f>
        <v/>
      </c>
    </row>
    <row r="26" spans="1:12" s="7" customFormat="1" x14ac:dyDescent="0.25">
      <c r="A26"/>
      <c r="B26"/>
      <c r="C26" s="7" t="str">
        <f t="shared" ca="1" si="0"/>
        <v/>
      </c>
      <c r="D26" s="7">
        <f ca="1">IF(E26="","",INT(SUM($E$2:E26)))</f>
        <v>13</v>
      </c>
      <c r="E26">
        <f ca="1">IF(SUM($E$2:E25)&lt;$B$6,invexp($B$4),"")</f>
        <v>0.62050916428153258</v>
      </c>
      <c r="F26"/>
      <c r="G26">
        <f ca="1">IF(E26="","",invexp($B$5))</f>
        <v>4.0915948705319838E-2</v>
      </c>
      <c r="H26" t="str">
        <f ca="1">IF(H25="","",IF(H25&lt;0,"",IF(E26="","",$B$1+D26*$B$7-SUM($G$2:G26))))</f>
        <v/>
      </c>
      <c r="I26" s="7">
        <f t="shared" ca="1" si="1"/>
        <v>0</v>
      </c>
      <c r="J26" s="7" t="str">
        <f t="shared" ca="1" si="3"/>
        <v/>
      </c>
      <c r="K26" s="7" t="str">
        <f t="shared" ca="1" si="2"/>
        <v/>
      </c>
      <c r="L26" s="7" t="str">
        <f ca="1">IF(J26="","",SUM($J$2:J26))</f>
        <v/>
      </c>
    </row>
    <row r="27" spans="1:12" s="7" customFormat="1" x14ac:dyDescent="0.25">
      <c r="A27"/>
      <c r="B27"/>
      <c r="C27" s="7" t="str">
        <f t="shared" ca="1" si="0"/>
        <v/>
      </c>
      <c r="D27" s="7">
        <f ca="1">IF(E27="","",INT(SUM($E$2:E27)))</f>
        <v>13</v>
      </c>
      <c r="E27">
        <f ca="1">IF(SUM($E$2:E26)&lt;$B$6,invexp($B$4),"")</f>
        <v>0.34859343404233589</v>
      </c>
      <c r="F27"/>
      <c r="G27">
        <f ca="1">IF(E27="","",invexp($B$5))</f>
        <v>2.7825947311126535</v>
      </c>
      <c r="H27" t="str">
        <f ca="1">IF(H26="","",IF(H26&lt;0,"",IF(E27="","",$B$1+D27*$B$7-SUM($G$2:G27))))</f>
        <v/>
      </c>
      <c r="I27" s="7">
        <f t="shared" ca="1" si="1"/>
        <v>0</v>
      </c>
      <c r="J27" s="7" t="str">
        <f t="shared" ca="1" si="3"/>
        <v/>
      </c>
      <c r="K27" s="7" t="str">
        <f t="shared" ca="1" si="2"/>
        <v/>
      </c>
      <c r="L27" s="7" t="str">
        <f ca="1">IF(J27="","",SUM($J$2:J27))</f>
        <v/>
      </c>
    </row>
    <row r="28" spans="1:12" s="7" customFormat="1" x14ac:dyDescent="0.25">
      <c r="A28"/>
      <c r="B28"/>
      <c r="C28" s="7" t="str">
        <f t="shared" ca="1" si="0"/>
        <v/>
      </c>
      <c r="D28" s="7">
        <f ca="1">IF(E28="","",INT(SUM($E$2:E28)))</f>
        <v>14</v>
      </c>
      <c r="E28">
        <f ca="1">IF(SUM($E$2:E27)&lt;$B$6,invexp($B$4),"")</f>
        <v>0.15453902571806649</v>
      </c>
      <c r="F28"/>
      <c r="G28">
        <f ca="1">IF(E28="","",invexp($B$5))</f>
        <v>3.6791358495821185</v>
      </c>
      <c r="H28" t="str">
        <f ca="1">IF(H27="","",IF(H27&lt;0,"",IF(E28="","",$B$1+D28*$B$7-SUM($G$2:G28))))</f>
        <v/>
      </c>
      <c r="I28" s="7">
        <f t="shared" ca="1" si="1"/>
        <v>0</v>
      </c>
      <c r="J28" s="7" t="str">
        <f t="shared" ca="1" si="3"/>
        <v/>
      </c>
      <c r="K28" s="7" t="str">
        <f t="shared" ca="1" si="2"/>
        <v/>
      </c>
      <c r="L28" s="7" t="str">
        <f ca="1">IF(J28="","",SUM($J$2:J28))</f>
        <v/>
      </c>
    </row>
    <row r="29" spans="1:12" s="7" customFormat="1" x14ac:dyDescent="0.25">
      <c r="A29"/>
      <c r="B29"/>
      <c r="C29" s="7" t="str">
        <f t="shared" ca="1" si="0"/>
        <v/>
      </c>
      <c r="D29" s="7">
        <f ca="1">IF(E29="","",INT(SUM($E$2:E29)))</f>
        <v>14</v>
      </c>
      <c r="E29">
        <f ca="1">IF(SUM($E$2:E28)&lt;$B$6,invexp($B$4),"")</f>
        <v>9.1779941260706738E-2</v>
      </c>
      <c r="F29"/>
      <c r="G29">
        <f ca="1">IF(E29="","",invexp($B$5))</f>
        <v>1.9244378238652398</v>
      </c>
      <c r="H29" t="str">
        <f ca="1">IF(H28="","",IF(H28&lt;0,"",IF(E29="","",$B$1+D29*$B$7-SUM($G$2:G29))))</f>
        <v/>
      </c>
      <c r="I29" s="7">
        <f t="shared" ca="1" si="1"/>
        <v>0</v>
      </c>
      <c r="J29" s="7" t="str">
        <f t="shared" ca="1" si="3"/>
        <v/>
      </c>
      <c r="K29" s="7" t="str">
        <f t="shared" ca="1" si="2"/>
        <v/>
      </c>
      <c r="L29" s="7" t="str">
        <f ca="1">IF(J29="","",SUM($J$2:J29))</f>
        <v/>
      </c>
    </row>
    <row r="30" spans="1:12" s="7" customFormat="1" x14ac:dyDescent="0.25">
      <c r="A30"/>
      <c r="B30"/>
      <c r="C30" s="7" t="str">
        <f t="shared" ca="1" si="0"/>
        <v/>
      </c>
      <c r="D30" s="7">
        <f ca="1">IF(E30="","",INT(SUM($E$2:E30)))</f>
        <v>15</v>
      </c>
      <c r="E30">
        <f ca="1">IF(SUM($E$2:E29)&lt;$B$6,invexp($B$4),"")</f>
        <v>0.76294807931920494</v>
      </c>
      <c r="F30"/>
      <c r="G30">
        <f ca="1">IF(E30="","",invexp($B$5))</f>
        <v>0.24402283109615466</v>
      </c>
      <c r="H30" t="str">
        <f ca="1">IF(H29="","",IF(H29&lt;0,"",IF(E30="","",$B$1+D30*$B$7-SUM($G$2:G30))))</f>
        <v/>
      </c>
      <c r="I30" s="7">
        <f t="shared" ca="1" si="1"/>
        <v>0</v>
      </c>
      <c r="J30" s="7" t="str">
        <f t="shared" ca="1" si="3"/>
        <v/>
      </c>
      <c r="K30" s="7" t="str">
        <f t="shared" ca="1" si="2"/>
        <v/>
      </c>
      <c r="L30" s="7" t="str">
        <f ca="1">IF(J30="","",SUM($J$2:J30))</f>
        <v/>
      </c>
    </row>
    <row r="31" spans="1:12" s="7" customFormat="1" x14ac:dyDescent="0.25">
      <c r="A31"/>
      <c r="B31"/>
      <c r="C31" s="7" t="str">
        <f t="shared" ca="1" si="0"/>
        <v/>
      </c>
      <c r="D31" s="7">
        <f ca="1">IF(E31="","",INT(SUM($E$2:E31)))</f>
        <v>15</v>
      </c>
      <c r="E31">
        <f ca="1">IF(SUM($E$2:E30)&lt;$B$6,invexp($B$4),"")</f>
        <v>1.1509416525183648E-2</v>
      </c>
      <c r="F31"/>
      <c r="G31">
        <f ca="1">IF(E31="","",invexp($B$5))</f>
        <v>5.2439427133839679E-2</v>
      </c>
      <c r="H31" t="str">
        <f ca="1">IF(H30="","",IF(H30&lt;0,"",IF(E31="","",$B$1+D31*$B$7-SUM($G$2:G31))))</f>
        <v/>
      </c>
      <c r="I31" s="7">
        <f t="shared" ca="1" si="1"/>
        <v>0</v>
      </c>
      <c r="J31" s="7" t="str">
        <f t="shared" ca="1" si="3"/>
        <v/>
      </c>
      <c r="K31" s="7" t="str">
        <f t="shared" ca="1" si="2"/>
        <v/>
      </c>
      <c r="L31" s="7" t="str">
        <f ca="1">IF(J31="","",SUM($J$2:J31))</f>
        <v/>
      </c>
    </row>
    <row r="32" spans="1:12" s="7" customFormat="1" x14ac:dyDescent="0.25">
      <c r="A32"/>
      <c r="B32"/>
      <c r="C32" s="7" t="str">
        <f t="shared" ca="1" si="0"/>
        <v/>
      </c>
      <c r="D32" s="7">
        <f ca="1">IF(E32="","",INT(SUM($E$2:E32)))</f>
        <v>15</v>
      </c>
      <c r="E32">
        <f ca="1">IF(SUM($E$2:E31)&lt;$B$6,invexp($B$4),"")</f>
        <v>0.90045222781363443</v>
      </c>
      <c r="F32"/>
      <c r="G32">
        <f ca="1">IF(E32="","",invexp($B$5))</f>
        <v>0.67283022096670253</v>
      </c>
      <c r="H32" t="str">
        <f ca="1">IF(H31="","",IF(H31&lt;0,"",IF(E32="","",$B$1+D32*$B$7-SUM($G$2:G32))))</f>
        <v/>
      </c>
      <c r="I32" s="7">
        <f t="shared" ca="1" si="1"/>
        <v>0</v>
      </c>
      <c r="J32" s="7" t="str">
        <f t="shared" ca="1" si="3"/>
        <v/>
      </c>
      <c r="K32" s="7" t="str">
        <f t="shared" ca="1" si="2"/>
        <v/>
      </c>
      <c r="L32" s="7" t="str">
        <f ca="1">IF(J32="","",SUM($J$2:J32))</f>
        <v/>
      </c>
    </row>
    <row r="33" spans="1:12" s="7" customFormat="1" x14ac:dyDescent="0.25">
      <c r="A33"/>
      <c r="B33"/>
      <c r="C33" s="7" t="str">
        <f t="shared" ca="1" si="0"/>
        <v/>
      </c>
      <c r="D33" s="7">
        <f ca="1">IF(E33="","",INT(SUM($E$2:E33)))</f>
        <v>16</v>
      </c>
      <c r="E33">
        <f ca="1">IF(SUM($E$2:E32)&lt;$B$6,invexp($B$4),"")</f>
        <v>0.28311003833635801</v>
      </c>
      <c r="F33"/>
      <c r="G33">
        <f ca="1">IF(E33="","",invexp($B$5))</f>
        <v>0.25491954003246625</v>
      </c>
      <c r="H33" t="str">
        <f ca="1">IF(H32="","",IF(H32&lt;0,"",IF(E33="","",$B$1+D33*$B$7-SUM($G$2:G33))))</f>
        <v/>
      </c>
      <c r="I33" s="7">
        <f t="shared" ca="1" si="1"/>
        <v>0</v>
      </c>
      <c r="J33" s="7" t="str">
        <f t="shared" ca="1" si="3"/>
        <v/>
      </c>
      <c r="K33" s="7" t="str">
        <f t="shared" ca="1" si="2"/>
        <v/>
      </c>
      <c r="L33" s="7" t="str">
        <f ca="1">IF(J33="","",SUM($J$2:J33))</f>
        <v/>
      </c>
    </row>
    <row r="34" spans="1:12" s="7" customFormat="1" x14ac:dyDescent="0.25">
      <c r="A34"/>
      <c r="B34"/>
      <c r="C34" s="7" t="str">
        <f t="shared" ca="1" si="0"/>
        <v/>
      </c>
      <c r="D34" s="7">
        <f ca="1">IF(E34="","",INT(SUM($E$2:E34)))</f>
        <v>16</v>
      </c>
      <c r="E34">
        <f ca="1">IF(SUM($E$2:E33)&lt;$B$6,invexp($B$4),"")</f>
        <v>0.28023430856022608</v>
      </c>
      <c r="F34"/>
      <c r="G34">
        <f ca="1">IF(E34="","",invexp($B$5))</f>
        <v>0.1673554781684943</v>
      </c>
      <c r="H34" t="str">
        <f ca="1">IF(H33="","",IF(H33&lt;0,"",IF(E34="","",$B$1+D34*$B$7-SUM($G$2:G34))))</f>
        <v/>
      </c>
      <c r="I34" s="7">
        <f t="shared" ca="1" si="1"/>
        <v>0</v>
      </c>
      <c r="J34" s="7" t="str">
        <f t="shared" ca="1" si="3"/>
        <v/>
      </c>
      <c r="K34" s="7" t="str">
        <f t="shared" ca="1" si="2"/>
        <v/>
      </c>
      <c r="L34" s="7" t="str">
        <f ca="1">IF(J34="","",SUM($J$2:J34))</f>
        <v/>
      </c>
    </row>
    <row r="35" spans="1:12" s="7" customFormat="1" x14ac:dyDescent="0.25">
      <c r="A35"/>
      <c r="B35"/>
      <c r="C35" s="7" t="str">
        <f t="shared" ca="1" si="0"/>
        <v/>
      </c>
      <c r="D35" s="7">
        <f ca="1">IF(E35="","",INT(SUM($E$2:E35)))</f>
        <v>16</v>
      </c>
      <c r="E35">
        <f ca="1">IF(SUM($E$2:E34)&lt;$B$6,invexp($B$4),"")</f>
        <v>0.32127698657613613</v>
      </c>
      <c r="F35"/>
      <c r="G35">
        <f ca="1">IF(E35="","",invexp($B$5))</f>
        <v>0.50475280043789716</v>
      </c>
      <c r="H35" t="str">
        <f ca="1">IF(H34="","",IF(H34&lt;0,"",IF(E35="","",$B$1+D35*$B$7-SUM($G$2:G35))))</f>
        <v/>
      </c>
      <c r="I35" s="7">
        <f t="shared" ca="1" si="1"/>
        <v>0</v>
      </c>
      <c r="J35" s="7" t="str">
        <f t="shared" ca="1" si="3"/>
        <v/>
      </c>
      <c r="K35" s="7" t="str">
        <f t="shared" ca="1" si="2"/>
        <v/>
      </c>
      <c r="L35" s="7" t="str">
        <f ca="1">IF(J35="","",SUM($J$2:J35))</f>
        <v/>
      </c>
    </row>
    <row r="36" spans="1:12" s="7" customFormat="1" x14ac:dyDescent="0.25">
      <c r="A36"/>
      <c r="B36"/>
      <c r="C36" s="7" t="str">
        <f t="shared" ca="1" si="0"/>
        <v/>
      </c>
      <c r="D36" s="7">
        <f ca="1">IF(E36="","",INT(SUM($E$2:E36)))</f>
        <v>16</v>
      </c>
      <c r="E36">
        <f ca="1">IF(SUM($E$2:E35)&lt;$B$6,invexp($B$4),"")</f>
        <v>2.5207121283478601E-2</v>
      </c>
      <c r="F36"/>
      <c r="G36">
        <f ca="1">IF(E36="","",invexp($B$5))</f>
        <v>0.53843364441879715</v>
      </c>
      <c r="H36" t="str">
        <f ca="1">IF(H35="","",IF(H35&lt;0,"",IF(E36="","",$B$1+D36*$B$7-SUM($G$2:G36))))</f>
        <v/>
      </c>
      <c r="I36" s="7">
        <f t="shared" ca="1" si="1"/>
        <v>0</v>
      </c>
      <c r="J36" s="7" t="str">
        <f t="shared" ca="1" si="3"/>
        <v/>
      </c>
      <c r="K36" s="7" t="str">
        <f t="shared" ca="1" si="2"/>
        <v/>
      </c>
      <c r="L36" s="7" t="str">
        <f ca="1">IF(J36="","",SUM($J$2:J36))</f>
        <v/>
      </c>
    </row>
    <row r="37" spans="1:12" s="7" customFormat="1" x14ac:dyDescent="0.25">
      <c r="A37"/>
      <c r="B37"/>
      <c r="C37" s="7" t="str">
        <f t="shared" ca="1" si="0"/>
        <v/>
      </c>
      <c r="D37" s="7">
        <f ca="1">IF(E37="","",INT(SUM($E$2:E37)))</f>
        <v>16</v>
      </c>
      <c r="E37">
        <f ca="1">IF(SUM($E$2:E36)&lt;$B$6,invexp($B$4),"")</f>
        <v>0.14830526713586106</v>
      </c>
      <c r="F37"/>
      <c r="G37">
        <f ca="1">IF(E37="","",invexp($B$5))</f>
        <v>0.65829092108945231</v>
      </c>
      <c r="H37" t="str">
        <f ca="1">IF(H36="","",IF(H36&lt;0,"",IF(E37="","",$B$1+D37*$B$7-SUM($G$2:G37))))</f>
        <v/>
      </c>
      <c r="I37" s="7">
        <f t="shared" ca="1" si="1"/>
        <v>0</v>
      </c>
      <c r="J37" s="7" t="str">
        <f t="shared" ca="1" si="3"/>
        <v/>
      </c>
      <c r="K37" s="7" t="str">
        <f t="shared" ca="1" si="2"/>
        <v/>
      </c>
      <c r="L37" s="7" t="str">
        <f ca="1">IF(J37="","",SUM($J$2:J37))</f>
        <v/>
      </c>
    </row>
    <row r="38" spans="1:12" s="7" customFormat="1" x14ac:dyDescent="0.25">
      <c r="A38"/>
      <c r="B38"/>
      <c r="C38" s="7" t="str">
        <f t="shared" ca="1" si="0"/>
        <v/>
      </c>
      <c r="D38" s="7">
        <f ca="1">IF(E38="","",INT(SUM($E$2:E38)))</f>
        <v>18</v>
      </c>
      <c r="E38">
        <f ca="1">IF(SUM($E$2:E37)&lt;$B$6,invexp($B$4),"")</f>
        <v>1.1909866587351146</v>
      </c>
      <c r="F38"/>
      <c r="G38">
        <f ca="1">IF(E38="","",invexp($B$5))</f>
        <v>0.97401181489442634</v>
      </c>
      <c r="H38" t="str">
        <f ca="1">IF(H37="","",IF(H37&lt;0,"",IF(E38="","",$B$1+D38*$B$7-SUM($G$2:G38))))</f>
        <v/>
      </c>
      <c r="I38" s="7">
        <f t="shared" ca="1" si="1"/>
        <v>0</v>
      </c>
      <c r="J38" s="7" t="str">
        <f t="shared" ca="1" si="3"/>
        <v/>
      </c>
      <c r="K38" s="7" t="str">
        <f t="shared" ca="1" si="2"/>
        <v/>
      </c>
      <c r="L38" s="7" t="str">
        <f ca="1">IF(J38="","",SUM($J$2:J38))</f>
        <v/>
      </c>
    </row>
    <row r="39" spans="1:12" s="7" customFormat="1" x14ac:dyDescent="0.25">
      <c r="A39"/>
      <c r="B39"/>
      <c r="C39" s="7" t="str">
        <f t="shared" ca="1" si="0"/>
        <v/>
      </c>
      <c r="D39" s="7">
        <f ca="1">IF(E39="","",INT(SUM($E$2:E39)))</f>
        <v>18</v>
      </c>
      <c r="E39">
        <f ca="1">IF(SUM($E$2:E38)&lt;$B$6,invexp($B$4),"")</f>
        <v>0.19088302732599338</v>
      </c>
      <c r="F39"/>
      <c r="G39">
        <f ca="1">IF(E39="","",invexp($B$5))</f>
        <v>1.1451811496772721</v>
      </c>
      <c r="H39" t="str">
        <f ca="1">IF(H38="","",IF(H38&lt;0,"",IF(E39="","",$B$1+D39*$B$7-SUM($G$2:G39))))</f>
        <v/>
      </c>
      <c r="I39" s="7">
        <f t="shared" ca="1" si="1"/>
        <v>0</v>
      </c>
      <c r="J39" s="7" t="str">
        <f t="shared" ca="1" si="3"/>
        <v/>
      </c>
      <c r="K39" s="7" t="str">
        <f t="shared" ca="1" si="2"/>
        <v/>
      </c>
      <c r="L39" s="7" t="str">
        <f ca="1">IF(J39="","",SUM($J$2:J39))</f>
        <v/>
      </c>
    </row>
    <row r="40" spans="1:12" s="7" customFormat="1" x14ac:dyDescent="0.25">
      <c r="A40"/>
      <c r="B40"/>
      <c r="C40" s="7" t="str">
        <f t="shared" ca="1" si="0"/>
        <v/>
      </c>
      <c r="D40" s="7">
        <f ca="1">IF(E40="","",INT(SUM($E$2:E40)))</f>
        <v>18</v>
      </c>
      <c r="E40">
        <f ca="1">IF(SUM($E$2:E39)&lt;$B$6,invexp($B$4),"")</f>
        <v>0.31180520880020701</v>
      </c>
      <c r="F40"/>
      <c r="G40">
        <f ca="1">IF(E40="","",invexp($B$5))</f>
        <v>0.81539937769614712</v>
      </c>
      <c r="H40" t="str">
        <f ca="1">IF(H39="","",IF(H39&lt;0,"",IF(E40="","",$B$1+D40*$B$7-SUM($G$2:G40))))</f>
        <v/>
      </c>
      <c r="I40" s="7">
        <f t="shared" ca="1" si="1"/>
        <v>0</v>
      </c>
      <c r="J40" s="7" t="str">
        <f t="shared" ca="1" si="3"/>
        <v/>
      </c>
      <c r="K40" s="7" t="str">
        <f t="shared" ca="1" si="2"/>
        <v/>
      </c>
      <c r="L40" s="7" t="str">
        <f ca="1">IF(J40="","",SUM($J$2:J40))</f>
        <v/>
      </c>
    </row>
    <row r="41" spans="1:12" s="7" customFormat="1" x14ac:dyDescent="0.25">
      <c r="A41"/>
      <c r="B41"/>
      <c r="C41" s="7" t="str">
        <f t="shared" ca="1" si="0"/>
        <v/>
      </c>
      <c r="D41" s="7">
        <f ca="1">IF(E41="","",INT(SUM($E$2:E41)))</f>
        <v>18</v>
      </c>
      <c r="E41">
        <f ca="1">IF(SUM($E$2:E40)&lt;$B$6,invexp($B$4),"")</f>
        <v>0.26969137264703269</v>
      </c>
      <c r="F41"/>
      <c r="G41">
        <f ca="1">IF(E41="","",invexp($B$5))</f>
        <v>6.3633458873328011E-2</v>
      </c>
      <c r="H41" t="str">
        <f ca="1">IF(H40="","",IF(H40&lt;0,"",IF(E41="","",$B$1+D41*$B$7-SUM($G$2:G41))))</f>
        <v/>
      </c>
      <c r="I41" s="7">
        <f t="shared" ca="1" si="1"/>
        <v>0</v>
      </c>
      <c r="J41" s="7" t="str">
        <f t="shared" ca="1" si="3"/>
        <v/>
      </c>
      <c r="K41" s="7" t="str">
        <f t="shared" ca="1" si="2"/>
        <v/>
      </c>
      <c r="L41" s="7" t="str">
        <f ca="1">IF(J41="","",SUM($J$2:J41))</f>
        <v/>
      </c>
    </row>
    <row r="42" spans="1:12" s="7" customFormat="1" x14ac:dyDescent="0.25">
      <c r="A42"/>
      <c r="B42"/>
      <c r="C42" s="7" t="str">
        <f t="shared" ca="1" si="0"/>
        <v/>
      </c>
      <c r="D42" s="7">
        <f ca="1">IF(E42="","",INT(SUM($E$2:E42)))</f>
        <v>19</v>
      </c>
      <c r="E42">
        <f ca="1">IF(SUM($E$2:E41)&lt;$B$6,invexp($B$4),"")</f>
        <v>0.10565733774123033</v>
      </c>
      <c r="F42"/>
      <c r="G42">
        <f ca="1">IF(E42="","",invexp($B$5))</f>
        <v>1.1487751052104926</v>
      </c>
      <c r="H42" t="str">
        <f ca="1">IF(H41="","",IF(H41&lt;0,"",IF(E42="","",$B$1+D42*$B$7-SUM($G$2:G42))))</f>
        <v/>
      </c>
      <c r="I42" s="7">
        <f t="shared" ca="1" si="1"/>
        <v>0</v>
      </c>
      <c r="J42" s="7" t="str">
        <f t="shared" ca="1" si="3"/>
        <v/>
      </c>
      <c r="K42" s="7" t="str">
        <f t="shared" ca="1" si="2"/>
        <v/>
      </c>
      <c r="L42" s="7" t="str">
        <f ca="1">IF(J42="","",SUM($J$2:J42))</f>
        <v/>
      </c>
    </row>
    <row r="43" spans="1:12" s="7" customFormat="1" x14ac:dyDescent="0.25">
      <c r="A43"/>
      <c r="B43"/>
      <c r="C43" s="7" t="str">
        <f t="shared" ca="1" si="0"/>
        <v/>
      </c>
      <c r="D43" s="7">
        <f ca="1">IF(E43="","",INT(SUM($E$2:E43)))</f>
        <v>19</v>
      </c>
      <c r="E43">
        <f ca="1">IF(SUM($E$2:E42)&lt;$B$6,invexp($B$4),"")</f>
        <v>0.28138200958172815</v>
      </c>
      <c r="F43"/>
      <c r="G43">
        <f ca="1">IF(E43="","",invexp($B$5))</f>
        <v>1.1073247440901013</v>
      </c>
      <c r="H43" t="str">
        <f ca="1">IF(H42="","",IF(H42&lt;0,"",IF(E43="","",$B$1+D43*$B$7-SUM($G$2:G43))))</f>
        <v/>
      </c>
      <c r="I43" s="7">
        <f t="shared" ca="1" si="1"/>
        <v>0</v>
      </c>
      <c r="J43" s="7" t="str">
        <f t="shared" ca="1" si="3"/>
        <v/>
      </c>
      <c r="K43" s="7" t="str">
        <f t="shared" ca="1" si="2"/>
        <v/>
      </c>
      <c r="L43" s="7" t="str">
        <f ca="1">IF(J43="","",SUM($J$2:J43))</f>
        <v/>
      </c>
    </row>
    <row r="44" spans="1:12" s="7" customFormat="1" x14ac:dyDescent="0.25">
      <c r="A44"/>
      <c r="B44"/>
      <c r="C44" s="7" t="str">
        <f t="shared" ca="1" si="0"/>
        <v/>
      </c>
      <c r="D44" s="7">
        <f ca="1">IF(E44="","",INT(SUM($E$2:E44)))</f>
        <v>20</v>
      </c>
      <c r="E44">
        <f ca="1">IF(SUM($E$2:E43)&lt;$B$6,invexp($B$4),"")</f>
        <v>0.85555518595043845</v>
      </c>
      <c r="F44"/>
      <c r="G44">
        <f ca="1">IF(E44="","",invexp($B$5))</f>
        <v>0.83609534245537154</v>
      </c>
      <c r="H44" t="str">
        <f ca="1">IF(H43="","",IF(H43&lt;0,"",IF(E44="","",$B$1+D44*$B$7-SUM($G$2:G44))))</f>
        <v/>
      </c>
      <c r="I44" s="7">
        <f t="shared" ca="1" si="1"/>
        <v>0</v>
      </c>
      <c r="J44" s="7" t="str">
        <f t="shared" ca="1" si="3"/>
        <v/>
      </c>
      <c r="K44" s="7" t="str">
        <f t="shared" ca="1" si="2"/>
        <v/>
      </c>
      <c r="L44" s="7" t="str">
        <f ca="1">IF(J44="","",SUM($J$2:J44))</f>
        <v/>
      </c>
    </row>
    <row r="45" spans="1:12" s="7" customFormat="1" x14ac:dyDescent="0.25">
      <c r="A45"/>
      <c r="B45"/>
      <c r="C45" s="7" t="str">
        <f t="shared" ca="1" si="0"/>
        <v/>
      </c>
      <c r="D45" s="7" t="str">
        <f ca="1">IF(E45="","",INT(SUM($E$2:E45)))</f>
        <v/>
      </c>
      <c r="E45" t="str">
        <f ca="1">IF(SUM($E$2:E44)&lt;$B$6,invexp($B$4),"")</f>
        <v/>
      </c>
      <c r="F45"/>
      <c r="G45" t="str">
        <f ca="1">IF(E45="","",invexp($B$5))</f>
        <v/>
      </c>
      <c r="H45" t="str">
        <f ca="1">IF(H44="","",IF(H44&lt;0,"",IF(E45="","",$B$1+D45*$B$7-SUM($G$2:G45))))</f>
        <v/>
      </c>
      <c r="I45" s="7">
        <f t="shared" ca="1" si="1"/>
        <v>0</v>
      </c>
      <c r="J45" s="7" t="str">
        <f t="shared" ca="1" si="3"/>
        <v/>
      </c>
      <c r="K45" s="7" t="str">
        <f t="shared" ca="1" si="2"/>
        <v/>
      </c>
      <c r="L45" s="7" t="str">
        <f ca="1">IF(J45="","",SUM($J$2:J45))</f>
        <v/>
      </c>
    </row>
    <row r="46" spans="1:12" s="7" customFormat="1" x14ac:dyDescent="0.25">
      <c r="A46"/>
      <c r="B46"/>
      <c r="C46" s="7" t="str">
        <f t="shared" ca="1" si="0"/>
        <v/>
      </c>
      <c r="D46" s="7" t="str">
        <f ca="1">IF(E46="","",INT(SUM($E$2:E46)))</f>
        <v/>
      </c>
      <c r="E46" t="str">
        <f ca="1">IF(SUM($E$2:E45)&lt;$B$6,invexp($B$4),"")</f>
        <v/>
      </c>
      <c r="F46"/>
      <c r="G46" t="str">
        <f ca="1">IF(E46="","",invexp($B$5))</f>
        <v/>
      </c>
      <c r="H46" t="str">
        <f ca="1">IF(H45="","",IF(H45&lt;0,"",IF(E46="","",$B$1+D46*$B$7-SUM($G$2:G46))))</f>
        <v/>
      </c>
      <c r="I46" s="7">
        <f t="shared" ca="1" si="1"/>
        <v>0</v>
      </c>
      <c r="J46" s="7" t="str">
        <f t="shared" ca="1" si="3"/>
        <v/>
      </c>
      <c r="K46" s="7" t="str">
        <f t="shared" ca="1" si="2"/>
        <v/>
      </c>
      <c r="L46" s="7" t="str">
        <f ca="1">IF(J46="","",SUM($J$2:J46))</f>
        <v/>
      </c>
    </row>
    <row r="47" spans="1:12" s="7" customFormat="1" x14ac:dyDescent="0.25">
      <c r="A47"/>
      <c r="B47"/>
      <c r="C47" s="7" t="str">
        <f t="shared" ca="1" si="0"/>
        <v/>
      </c>
      <c r="D47" s="7" t="str">
        <f ca="1">IF(E47="","",INT(SUM($E$2:E47)))</f>
        <v/>
      </c>
      <c r="E47" t="str">
        <f ca="1">IF(SUM($E$2:E46)&lt;$B$6,invexp($B$4),"")</f>
        <v/>
      </c>
      <c r="F47"/>
      <c r="G47" t="str">
        <f ca="1">IF(E47="","",invexp($B$5))</f>
        <v/>
      </c>
      <c r="H47" t="str">
        <f ca="1">IF(H46="","",IF(H46&lt;0,"",IF(E47="","",$B$1+D47*$B$7-SUM($G$2:G47))))</f>
        <v/>
      </c>
      <c r="I47" s="7">
        <f t="shared" ca="1" si="1"/>
        <v>0</v>
      </c>
      <c r="J47" s="7" t="str">
        <f t="shared" ca="1" si="3"/>
        <v/>
      </c>
      <c r="K47" s="7" t="str">
        <f t="shared" ca="1" si="2"/>
        <v/>
      </c>
      <c r="L47" s="7" t="str">
        <f ca="1">IF(J47="","",SUM($J$2:J47))</f>
        <v/>
      </c>
    </row>
    <row r="48" spans="1:12" s="7" customFormat="1" x14ac:dyDescent="0.25">
      <c r="A48"/>
      <c r="B48"/>
      <c r="C48" s="7" t="str">
        <f t="shared" ca="1" si="0"/>
        <v/>
      </c>
      <c r="D48" s="7" t="str">
        <f ca="1">IF(E48="","",INT(SUM($E$2:E48)))</f>
        <v/>
      </c>
      <c r="E48" t="str">
        <f ca="1">IF(SUM($E$2:E47)&lt;$B$6,invexp($B$4),"")</f>
        <v/>
      </c>
      <c r="F48"/>
      <c r="G48" t="str">
        <f ca="1">IF(E48="","",invexp($B$5))</f>
        <v/>
      </c>
      <c r="H48" t="str">
        <f ca="1">IF(H47="","",IF(H47&lt;0,"",IF(E48="","",$B$1+D48*$B$7-SUM($G$2:G48))))</f>
        <v/>
      </c>
      <c r="I48" s="7">
        <f t="shared" ca="1" si="1"/>
        <v>0</v>
      </c>
      <c r="J48" s="7" t="str">
        <f t="shared" ca="1" si="3"/>
        <v/>
      </c>
      <c r="K48" s="7" t="str">
        <f t="shared" ca="1" si="2"/>
        <v/>
      </c>
      <c r="L48" s="7" t="str">
        <f ca="1">IF(J48="","",SUM($J$2:J48))</f>
        <v/>
      </c>
    </row>
    <row r="49" spans="1:12" s="7" customFormat="1" x14ac:dyDescent="0.25">
      <c r="A49"/>
      <c r="B49"/>
      <c r="C49" s="7" t="str">
        <f t="shared" ca="1" si="0"/>
        <v/>
      </c>
      <c r="D49" s="7" t="str">
        <f ca="1">IF(E49="","",INT(SUM($E$2:E49)))</f>
        <v/>
      </c>
      <c r="E49" t="str">
        <f ca="1">IF(SUM($E$2:E48)&lt;$B$6,invexp($B$4),"")</f>
        <v/>
      </c>
      <c r="F49"/>
      <c r="G49" t="str">
        <f ca="1">IF(E49="","",invexp($B$5))</f>
        <v/>
      </c>
      <c r="H49" t="str">
        <f ca="1">IF(H48="","",IF(H48&lt;0,"",IF(E49="","",$B$1+D49*$B$7-SUM($G$2:G49))))</f>
        <v/>
      </c>
      <c r="I49" s="7">
        <f t="shared" ca="1" si="1"/>
        <v>0</v>
      </c>
      <c r="J49" s="7" t="str">
        <f t="shared" ca="1" si="3"/>
        <v/>
      </c>
      <c r="K49" s="7" t="str">
        <f t="shared" ca="1" si="2"/>
        <v/>
      </c>
      <c r="L49" s="7" t="str">
        <f ca="1">IF(J49="","",SUM($J$2:J49))</f>
        <v/>
      </c>
    </row>
    <row r="50" spans="1:12" s="7" customFormat="1" x14ac:dyDescent="0.25">
      <c r="A50"/>
      <c r="B50"/>
      <c r="C50" s="7" t="str">
        <f t="shared" ca="1" si="0"/>
        <v/>
      </c>
      <c r="D50" s="7" t="str">
        <f ca="1">IF(E50="","",INT(SUM($E$2:E50)))</f>
        <v/>
      </c>
      <c r="E50" t="str">
        <f ca="1">IF(SUM($E$2:E49)&lt;$B$6,invexp($B$4),"")</f>
        <v/>
      </c>
      <c r="F50"/>
      <c r="G50" t="str">
        <f ca="1">IF(E50="","",invexp($B$5))</f>
        <v/>
      </c>
      <c r="H50" t="str">
        <f ca="1">IF(H49="","",IF(H49&lt;0,"",IF(E50="","",$B$1+D50*$B$7-SUM($G$2:G50))))</f>
        <v/>
      </c>
      <c r="I50" s="7">
        <f t="shared" ca="1" si="1"/>
        <v>0</v>
      </c>
      <c r="J50" s="7" t="str">
        <f t="shared" ca="1" si="3"/>
        <v/>
      </c>
      <c r="K50" s="7" t="str">
        <f t="shared" ca="1" si="2"/>
        <v/>
      </c>
      <c r="L50" s="7" t="str">
        <f ca="1">IF(J50="","",SUM($J$2:J50))</f>
        <v/>
      </c>
    </row>
    <row r="51" spans="1:12" s="7" customFormat="1" x14ac:dyDescent="0.25">
      <c r="A51"/>
      <c r="B51"/>
      <c r="C51" s="7" t="str">
        <f t="shared" ca="1" si="0"/>
        <v/>
      </c>
      <c r="D51" s="7" t="str">
        <f ca="1">IF(E51="","",INT(SUM($E$2:E51)))</f>
        <v/>
      </c>
      <c r="E51" t="str">
        <f ca="1">IF(SUM($E$2:E50)&lt;$B$6,invexp($B$4),"")</f>
        <v/>
      </c>
      <c r="F51"/>
      <c r="G51" t="str">
        <f ca="1">IF(E51="","",invexp($B$5))</f>
        <v/>
      </c>
      <c r="H51" t="str">
        <f ca="1">IF(H50="","",IF(H50&lt;0,"",IF(E51="","",$B$1+D51*$B$7-SUM($G$2:G51))))</f>
        <v/>
      </c>
      <c r="I51" s="7">
        <f t="shared" ca="1" si="1"/>
        <v>0</v>
      </c>
      <c r="J51" s="7" t="str">
        <f t="shared" ca="1" si="3"/>
        <v/>
      </c>
      <c r="K51" s="7" t="str">
        <f t="shared" ca="1" si="2"/>
        <v/>
      </c>
      <c r="L51" s="7" t="str">
        <f ca="1">IF(J51="","",SUM($J$2:J51))</f>
        <v/>
      </c>
    </row>
    <row r="52" spans="1:12" s="7" customFormat="1" x14ac:dyDescent="0.25">
      <c r="A52"/>
      <c r="B52"/>
      <c r="C52" s="7" t="str">
        <f t="shared" ca="1" si="0"/>
        <v/>
      </c>
      <c r="D52" s="7" t="str">
        <f ca="1">IF(E52="","",INT(SUM($E$2:E52)))</f>
        <v/>
      </c>
      <c r="E52" t="str">
        <f ca="1">IF(SUM($E$2:E51)&lt;$B$6,invexp($B$4),"")</f>
        <v/>
      </c>
      <c r="F52"/>
      <c r="G52" t="str">
        <f ca="1">IF(E52="","",invexp($B$5))</f>
        <v/>
      </c>
      <c r="H52" t="str">
        <f ca="1">IF(H51="","",IF(H51&lt;0,"",IF(E52="","",$B$1+D52*$B$7-SUM($G$2:G52))))</f>
        <v/>
      </c>
      <c r="I52" s="7">
        <f t="shared" ca="1" si="1"/>
        <v>0</v>
      </c>
      <c r="J52" s="7" t="str">
        <f t="shared" ca="1" si="3"/>
        <v/>
      </c>
      <c r="K52" s="7" t="str">
        <f t="shared" ca="1" si="2"/>
        <v/>
      </c>
      <c r="L52" s="7" t="str">
        <f ca="1">IF(J52="","",SUM($J$2:J52))</f>
        <v/>
      </c>
    </row>
    <row r="53" spans="1:12" s="7" customFormat="1" x14ac:dyDescent="0.25">
      <c r="A53"/>
      <c r="B53"/>
      <c r="C53" s="7" t="str">
        <f t="shared" ca="1" si="0"/>
        <v/>
      </c>
      <c r="D53" s="7" t="str">
        <f ca="1">IF(E53="","",INT(SUM($E$2:E53)))</f>
        <v/>
      </c>
      <c r="E53" t="str">
        <f ca="1">IF(SUM($E$2:E52)&lt;$B$6,invexp($B$4),"")</f>
        <v/>
      </c>
      <c r="F53"/>
      <c r="G53" t="str">
        <f ca="1">IF(E53="","",invexp($B$5))</f>
        <v/>
      </c>
      <c r="H53" t="str">
        <f ca="1">IF(H52="","",IF(H52&lt;0,"",IF(E53="","",$B$1+D53*$B$7-SUM($G$2:G53))))</f>
        <v/>
      </c>
      <c r="I53" s="7">
        <f t="shared" ca="1" si="1"/>
        <v>0</v>
      </c>
      <c r="J53" s="7" t="str">
        <f t="shared" ca="1" si="3"/>
        <v/>
      </c>
      <c r="K53" s="7" t="str">
        <f t="shared" ca="1" si="2"/>
        <v/>
      </c>
      <c r="L53" s="7" t="str">
        <f ca="1">IF(J53="","",SUM($J$2:J53))</f>
        <v/>
      </c>
    </row>
    <row r="54" spans="1:12" s="7" customFormat="1" x14ac:dyDescent="0.25">
      <c r="A54"/>
      <c r="B54"/>
      <c r="C54" s="7" t="str">
        <f t="shared" ca="1" si="0"/>
        <v/>
      </c>
      <c r="D54" s="7" t="str">
        <f ca="1">IF(E54="","",INT(SUM($E$2:E54)))</f>
        <v/>
      </c>
      <c r="E54" t="str">
        <f ca="1">IF(SUM($E$2:E53)&lt;$B$6,invexp($B$4),"")</f>
        <v/>
      </c>
      <c r="F54"/>
      <c r="G54" t="str">
        <f ca="1">IF(E54="","",invexp($B$5))</f>
        <v/>
      </c>
      <c r="H54" t="str">
        <f ca="1">IF(H53="","",IF(H53&lt;0,"",IF(E54="","",$B$1+D54*$B$7-SUM($G$2:G54))))</f>
        <v/>
      </c>
      <c r="I54" s="7">
        <f t="shared" ca="1" si="1"/>
        <v>0</v>
      </c>
      <c r="J54" s="7" t="str">
        <f t="shared" ca="1" si="3"/>
        <v/>
      </c>
      <c r="K54" s="7" t="str">
        <f t="shared" ca="1" si="2"/>
        <v/>
      </c>
      <c r="L54" s="7" t="str">
        <f ca="1">IF(J54="","",SUM($J$2:J54))</f>
        <v/>
      </c>
    </row>
    <row r="55" spans="1:12" s="7" customFormat="1" x14ac:dyDescent="0.25">
      <c r="A55"/>
      <c r="B55"/>
      <c r="C55" s="7" t="str">
        <f t="shared" ca="1" si="0"/>
        <v/>
      </c>
      <c r="D55" s="7" t="str">
        <f ca="1">IF(E55="","",INT(SUM($E$2:E55)))</f>
        <v/>
      </c>
      <c r="E55" t="str">
        <f ca="1">IF(SUM($E$2:E54)&lt;$B$6,invexp($B$4),"")</f>
        <v/>
      </c>
      <c r="F55"/>
      <c r="G55" t="str">
        <f ca="1">IF(E55="","",invexp($B$5))</f>
        <v/>
      </c>
      <c r="H55" t="str">
        <f ca="1">IF(H54="","",IF(H54&lt;0,"",IF(E55="","",$B$1+D55*$B$7-SUM($G$2:G55))))</f>
        <v/>
      </c>
      <c r="I55" s="7">
        <f t="shared" ca="1" si="1"/>
        <v>0</v>
      </c>
      <c r="J55" s="7" t="str">
        <f t="shared" ca="1" si="3"/>
        <v/>
      </c>
      <c r="K55" s="7" t="str">
        <f t="shared" ca="1" si="2"/>
        <v/>
      </c>
      <c r="L55" s="7" t="str">
        <f ca="1">IF(J55="","",SUM($J$2:J55))</f>
        <v/>
      </c>
    </row>
    <row r="56" spans="1:12" s="7" customFormat="1" x14ac:dyDescent="0.25">
      <c r="A56"/>
      <c r="B56"/>
      <c r="C56" s="7" t="str">
        <f t="shared" ca="1" si="0"/>
        <v/>
      </c>
      <c r="D56" s="7" t="str">
        <f ca="1">IF(E56="","",INT(SUM($E$2:E56)))</f>
        <v/>
      </c>
      <c r="E56" t="str">
        <f ca="1">IF(SUM($E$2:E55)&lt;$B$6,invexp($B$4),"")</f>
        <v/>
      </c>
      <c r="F56"/>
      <c r="G56" t="str">
        <f ca="1">IF(E56="","",invexp($B$5))</f>
        <v/>
      </c>
      <c r="H56" t="str">
        <f ca="1">IF(H55="","",IF(H55&lt;0,"",IF(E56="","",$B$1+D56*$B$7-SUM($G$2:G56))))</f>
        <v/>
      </c>
      <c r="I56" s="7">
        <f t="shared" ca="1" si="1"/>
        <v>0</v>
      </c>
      <c r="J56" s="7" t="str">
        <f t="shared" ca="1" si="3"/>
        <v/>
      </c>
      <c r="K56" s="7" t="str">
        <f t="shared" ca="1" si="2"/>
        <v/>
      </c>
      <c r="L56" s="7" t="str">
        <f ca="1">IF(J56="","",SUM($J$2:J56))</f>
        <v/>
      </c>
    </row>
    <row r="57" spans="1:12" s="7" customFormat="1" x14ac:dyDescent="0.25">
      <c r="A57"/>
      <c r="B57"/>
      <c r="C57" s="7" t="str">
        <f t="shared" ca="1" si="0"/>
        <v/>
      </c>
      <c r="D57" s="7" t="str">
        <f ca="1">IF(E57="","",INT(SUM($E$2:E57)))</f>
        <v/>
      </c>
      <c r="E57" t="str">
        <f ca="1">IF(SUM($E$2:E56)&lt;$B$6,invexp($B$4),"")</f>
        <v/>
      </c>
      <c r="F57"/>
      <c r="G57" t="str">
        <f ca="1">IF(E57="","",invexp($B$5))</f>
        <v/>
      </c>
      <c r="H57" t="str">
        <f ca="1">IF(H56="","",IF(H56&lt;0,"",IF(E57="","",$B$1+D57*$B$7-SUM($G$2:G57))))</f>
        <v/>
      </c>
      <c r="I57" s="7">
        <f t="shared" ca="1" si="1"/>
        <v>0</v>
      </c>
      <c r="J57" s="7" t="str">
        <f t="shared" ca="1" si="3"/>
        <v/>
      </c>
      <c r="K57" s="7" t="str">
        <f t="shared" ca="1" si="2"/>
        <v/>
      </c>
      <c r="L57" s="7" t="str">
        <f ca="1">IF(J57="","",SUM($J$2:J57))</f>
        <v/>
      </c>
    </row>
    <row r="58" spans="1:12" s="7" customFormat="1" x14ac:dyDescent="0.25">
      <c r="A58"/>
      <c r="B58"/>
      <c r="C58" s="7" t="str">
        <f t="shared" ca="1" si="0"/>
        <v/>
      </c>
      <c r="D58" s="7" t="str">
        <f ca="1">IF(E58="","",INT(SUM($E$2:E58)))</f>
        <v/>
      </c>
      <c r="E58" t="str">
        <f ca="1">IF(SUM($E$2:E57)&lt;$B$6,invexp($B$4),"")</f>
        <v/>
      </c>
      <c r="F58"/>
      <c r="G58" t="str">
        <f ca="1">IF(E58="","",invexp($B$5))</f>
        <v/>
      </c>
      <c r="H58" t="str">
        <f ca="1">IF(H57="","",IF(H57&lt;0,"",IF(E58="","",$B$1+D58*$B$7-SUM($G$2:G58))))</f>
        <v/>
      </c>
      <c r="I58" s="7">
        <f t="shared" ca="1" si="1"/>
        <v>0</v>
      </c>
      <c r="J58" s="7" t="str">
        <f t="shared" ca="1" si="3"/>
        <v/>
      </c>
      <c r="K58" s="7" t="str">
        <f t="shared" ca="1" si="2"/>
        <v/>
      </c>
      <c r="L58" s="7" t="str">
        <f ca="1">IF(J58="","",SUM($J$2:J58))</f>
        <v/>
      </c>
    </row>
    <row r="59" spans="1:12" s="7" customFormat="1" x14ac:dyDescent="0.25">
      <c r="A59"/>
      <c r="B59"/>
      <c r="C59" s="7" t="str">
        <f t="shared" ca="1" si="0"/>
        <v/>
      </c>
      <c r="D59" s="7" t="str">
        <f ca="1">IF(E59="","",INT(SUM($E$2:E59)))</f>
        <v/>
      </c>
      <c r="E59" t="str">
        <f ca="1">IF(SUM($E$2:E58)&lt;$B$6,invexp($B$4),"")</f>
        <v/>
      </c>
      <c r="F59"/>
      <c r="G59" t="str">
        <f ca="1">IF(E59="","",invexp($B$5))</f>
        <v/>
      </c>
      <c r="H59" t="str">
        <f ca="1">IF(H58="","",IF(H58&lt;0,"",IF(E59="","",$B$1+D59*$B$7-SUM($G$2:G59))))</f>
        <v/>
      </c>
      <c r="I59" s="7">
        <f t="shared" ca="1" si="1"/>
        <v>0</v>
      </c>
      <c r="J59" s="7" t="str">
        <f t="shared" ca="1" si="3"/>
        <v/>
      </c>
      <c r="K59" s="7" t="str">
        <f t="shared" ca="1" si="2"/>
        <v/>
      </c>
      <c r="L59" s="7" t="str">
        <f ca="1">IF(J59="","",SUM($J$2:J59))</f>
        <v/>
      </c>
    </row>
    <row r="60" spans="1:12" s="7" customFormat="1" x14ac:dyDescent="0.25">
      <c r="A60"/>
      <c r="B60"/>
      <c r="C60" s="7" t="str">
        <f t="shared" ca="1" si="0"/>
        <v/>
      </c>
      <c r="D60" s="7" t="str">
        <f ca="1">IF(E60="","",INT(SUM($E$2:E60)))</f>
        <v/>
      </c>
      <c r="E60" t="str">
        <f ca="1">IF(SUM($E$2:E59)&lt;$B$6,invexp($B$4),"")</f>
        <v/>
      </c>
      <c r="F60"/>
      <c r="G60" t="str">
        <f ca="1">IF(E60="","",invexp($B$5))</f>
        <v/>
      </c>
      <c r="H60" t="str">
        <f ca="1">IF(H59="","",IF(H59&lt;0,"",IF(E60="","",$B$1+D60*$B$7-SUM($G$2:G60))))</f>
        <v/>
      </c>
      <c r="I60" s="7">
        <f t="shared" ca="1" si="1"/>
        <v>0</v>
      </c>
      <c r="J60" s="7" t="str">
        <f t="shared" ca="1" si="3"/>
        <v/>
      </c>
      <c r="K60" s="7" t="str">
        <f t="shared" ca="1" si="2"/>
        <v/>
      </c>
      <c r="L60" s="7" t="str">
        <f ca="1">IF(J60="","",SUM($J$2:J60))</f>
        <v/>
      </c>
    </row>
    <row r="61" spans="1:12" s="7" customFormat="1" x14ac:dyDescent="0.25">
      <c r="A61"/>
      <c r="B61"/>
      <c r="C61" s="7" t="str">
        <f t="shared" ca="1" si="0"/>
        <v/>
      </c>
      <c r="D61" s="7" t="str">
        <f ca="1">IF(E61="","",INT(SUM($E$2:E61)))</f>
        <v/>
      </c>
      <c r="E61" t="str">
        <f ca="1">IF(SUM($E$2:E60)&lt;$B$6,invexp($B$4),"")</f>
        <v/>
      </c>
      <c r="F61"/>
      <c r="G61" t="str">
        <f ca="1">IF(E61="","",invexp($B$5))</f>
        <v/>
      </c>
      <c r="H61" t="str">
        <f ca="1">IF(H60="","",IF(H60&lt;0,"",IF(E61="","",$B$1+D61*$B$7-SUM($G$2:G61))))</f>
        <v/>
      </c>
      <c r="I61" s="7">
        <f t="shared" ca="1" si="1"/>
        <v>0</v>
      </c>
      <c r="J61" s="7" t="str">
        <f t="shared" ca="1" si="3"/>
        <v/>
      </c>
      <c r="K61" s="7" t="str">
        <f t="shared" ca="1" si="2"/>
        <v/>
      </c>
      <c r="L61" s="7" t="str">
        <f ca="1">IF(J61="","",SUM($J$2:J61))</f>
        <v/>
      </c>
    </row>
    <row r="62" spans="1:12" s="7" customFormat="1" x14ac:dyDescent="0.25">
      <c r="A62"/>
      <c r="B62"/>
      <c r="C62" s="7" t="str">
        <f t="shared" ca="1" si="0"/>
        <v/>
      </c>
      <c r="D62" s="7" t="str">
        <f ca="1">IF(E62="","",INT(SUM($E$2:E62)))</f>
        <v/>
      </c>
      <c r="E62" t="str">
        <f ca="1">IF(SUM($E$2:E61)&lt;$B$6,invexp($B$4),"")</f>
        <v/>
      </c>
      <c r="F62"/>
      <c r="G62" t="str">
        <f ca="1">IF(E62="","",invexp($B$5))</f>
        <v/>
      </c>
      <c r="H62" t="str">
        <f ca="1">IF(H61="","",IF(H61&lt;0,"",IF(E62="","",$B$1+D62*$B$7-SUM($G$2:G62))))</f>
        <v/>
      </c>
      <c r="I62" s="7">
        <f t="shared" ca="1" si="1"/>
        <v>0</v>
      </c>
      <c r="J62" s="7" t="str">
        <f t="shared" ca="1" si="3"/>
        <v/>
      </c>
      <c r="K62" s="7" t="str">
        <f t="shared" ca="1" si="2"/>
        <v/>
      </c>
      <c r="L62" s="7" t="str">
        <f ca="1">IF(J62="","",SUM($J$2:J62))</f>
        <v/>
      </c>
    </row>
    <row r="63" spans="1:12" s="7" customFormat="1" x14ac:dyDescent="0.25">
      <c r="A63"/>
      <c r="B63"/>
      <c r="C63" s="7" t="str">
        <f t="shared" ca="1" si="0"/>
        <v/>
      </c>
      <c r="D63" s="7" t="str">
        <f ca="1">IF(E63="","",INT(SUM($E$2:E63)))</f>
        <v/>
      </c>
      <c r="E63" t="str">
        <f ca="1">IF(SUM($E$2:E62)&lt;$B$6,invexp($B$4),"")</f>
        <v/>
      </c>
      <c r="F63"/>
      <c r="G63" t="str">
        <f ca="1">IF(E63="","",invexp($B$5))</f>
        <v/>
      </c>
      <c r="H63" t="str">
        <f ca="1">IF(H62="","",IF(H62&lt;0,"",IF(E63="","",$B$1+D63*$B$7-SUM($G$2:G63))))</f>
        <v/>
      </c>
      <c r="I63" s="7">
        <f t="shared" ca="1" si="1"/>
        <v>0</v>
      </c>
      <c r="J63" s="7" t="str">
        <f t="shared" ca="1" si="3"/>
        <v/>
      </c>
      <c r="K63" s="7" t="str">
        <f t="shared" ca="1" si="2"/>
        <v/>
      </c>
      <c r="L63" s="7" t="str">
        <f ca="1">IF(J63="","",SUM($J$2:J63))</f>
        <v/>
      </c>
    </row>
    <row r="64" spans="1:12" s="7" customFormat="1" x14ac:dyDescent="0.25">
      <c r="A64"/>
      <c r="B64"/>
      <c r="C64" s="7" t="str">
        <f t="shared" ca="1" si="0"/>
        <v/>
      </c>
      <c r="D64" s="7" t="str">
        <f ca="1">IF(E64="","",INT(SUM($E$2:E64)))</f>
        <v/>
      </c>
      <c r="E64" t="str">
        <f ca="1">IF(SUM($E$2:E63)&lt;$B$6,invexp($B$4),"")</f>
        <v/>
      </c>
      <c r="F64"/>
      <c r="G64" t="str">
        <f ca="1">IF(E64="","",invexp($B$5))</f>
        <v/>
      </c>
      <c r="H64" t="str">
        <f ca="1">IF(H63="","",IF(H63&lt;0,"",IF(E64="","",$B$1+D64*$B$7-SUM($G$2:G64))))</f>
        <v/>
      </c>
      <c r="I64" s="7">
        <f t="shared" ca="1" si="1"/>
        <v>0</v>
      </c>
      <c r="J64" s="7" t="str">
        <f t="shared" ca="1" si="3"/>
        <v/>
      </c>
      <c r="K64" s="7" t="str">
        <f t="shared" ca="1" si="2"/>
        <v/>
      </c>
      <c r="L64" s="7" t="str">
        <f ca="1">IF(J64="","",SUM($J$2:J64))</f>
        <v/>
      </c>
    </row>
    <row r="65" spans="1:12" s="7" customFormat="1" x14ac:dyDescent="0.25">
      <c r="A65"/>
      <c r="B65"/>
      <c r="C65" s="7" t="str">
        <f t="shared" ca="1" si="0"/>
        <v/>
      </c>
      <c r="D65" s="7" t="str">
        <f ca="1">IF(E65="","",INT(SUM($E$2:E65)))</f>
        <v/>
      </c>
      <c r="E65" t="str">
        <f ca="1">IF(SUM($E$2:E64)&lt;$B$6,invexp($B$4),"")</f>
        <v/>
      </c>
      <c r="F65"/>
      <c r="G65" t="str">
        <f ca="1">IF(E65="","",invexp($B$5))</f>
        <v/>
      </c>
      <c r="H65" t="str">
        <f ca="1">IF(H64="","",IF(H64&lt;0,"",IF(E65="","",$B$1+D65*$B$7-SUM($G$2:G65))))</f>
        <v/>
      </c>
      <c r="I65" s="7">
        <f t="shared" ca="1" si="1"/>
        <v>0</v>
      </c>
      <c r="J65" s="7" t="str">
        <f t="shared" ca="1" si="3"/>
        <v/>
      </c>
      <c r="K65" s="7" t="str">
        <f t="shared" ca="1" si="2"/>
        <v/>
      </c>
      <c r="L65" s="7" t="str">
        <f ca="1">IF(J65="","",SUM($J$2:J65))</f>
        <v/>
      </c>
    </row>
    <row r="66" spans="1:12" s="7" customFormat="1" x14ac:dyDescent="0.25">
      <c r="A66"/>
      <c r="B66"/>
      <c r="C66" s="7" t="str">
        <f t="shared" ca="1" si="0"/>
        <v/>
      </c>
      <c r="D66" s="7" t="str">
        <f ca="1">IF(E66="","",INT(SUM($E$2:E66)))</f>
        <v/>
      </c>
      <c r="E66" t="str">
        <f ca="1">IF(SUM($E$2:E65)&lt;$B$6,invexp($B$4),"")</f>
        <v/>
      </c>
      <c r="F66"/>
      <c r="G66" t="str">
        <f ca="1">IF(E66="","",invexp($B$5))</f>
        <v/>
      </c>
      <c r="H66" t="str">
        <f ca="1">IF(H65="","",IF(H65&lt;0,"",IF(E66="","",$B$1+D66*$B$7-SUM($G$2:G66))))</f>
        <v/>
      </c>
      <c r="I66" s="7">
        <f t="shared" ca="1" si="1"/>
        <v>0</v>
      </c>
      <c r="J66" s="7" t="str">
        <f t="shared" ca="1" si="3"/>
        <v/>
      </c>
      <c r="K66" s="7" t="str">
        <f t="shared" ca="1" si="2"/>
        <v/>
      </c>
      <c r="L66" s="7" t="str">
        <f ca="1">IF(J66="","",SUM($J$2:J66))</f>
        <v/>
      </c>
    </row>
    <row r="67" spans="1:12" s="7" customFormat="1" x14ac:dyDescent="0.25">
      <c r="A67"/>
      <c r="B67"/>
      <c r="C67" s="7" t="str">
        <f t="shared" ref="C67:C130" ca="1" si="4">L67</f>
        <v/>
      </c>
      <c r="D67" s="7" t="str">
        <f ca="1">IF(E67="","",INT(SUM($E$2:E67)))</f>
        <v/>
      </c>
      <c r="E67" t="str">
        <f ca="1">IF(SUM($E$2:E66)&lt;$B$6,invexp($B$4),"")</f>
        <v/>
      </c>
      <c r="F67"/>
      <c r="G67" t="str">
        <f ca="1">IF(E67="","",invexp($B$5))</f>
        <v/>
      </c>
      <c r="H67" t="str">
        <f ca="1">IF(H66="","",IF(H66&lt;0,"",IF(E67="","",$B$1+D67*$B$7-SUM($G$2:G67))))</f>
        <v/>
      </c>
      <c r="I67" s="7">
        <f t="shared" ref="I67:I130" ca="1" si="5">IF(H67&lt;-$B$2,1,0)</f>
        <v>0</v>
      </c>
      <c r="J67" s="7" t="str">
        <f t="shared" ref="J67:J130" ca="1" si="6">IF(H67="","",E67)</f>
        <v/>
      </c>
      <c r="K67" s="7" t="str">
        <f t="shared" ref="K67:K130" ca="1" si="7">IF(H67="","",G67)</f>
        <v/>
      </c>
      <c r="L67" s="7" t="str">
        <f ca="1">IF(J67="","",SUM($J$2:J67))</f>
        <v/>
      </c>
    </row>
    <row r="68" spans="1:12" s="7" customFormat="1" x14ac:dyDescent="0.25">
      <c r="A68"/>
      <c r="B68"/>
      <c r="C68" s="7" t="str">
        <f t="shared" ca="1" si="4"/>
        <v/>
      </c>
      <c r="D68" s="7" t="str">
        <f ca="1">IF(E68="","",INT(SUM($E$2:E68)))</f>
        <v/>
      </c>
      <c r="E68" t="str">
        <f ca="1">IF(SUM($E$2:E67)&lt;$B$6,invexp($B$4),"")</f>
        <v/>
      </c>
      <c r="F68"/>
      <c r="G68" t="str">
        <f ca="1">IF(E68="","",invexp($B$5))</f>
        <v/>
      </c>
      <c r="H68" t="str">
        <f ca="1">IF(H67="","",IF(H67&lt;0,"",IF(E68="","",$B$1+D68*$B$7-SUM($G$2:G68))))</f>
        <v/>
      </c>
      <c r="I68" s="7">
        <f t="shared" ca="1" si="5"/>
        <v>0</v>
      </c>
      <c r="J68" s="7" t="str">
        <f t="shared" ca="1" si="6"/>
        <v/>
      </c>
      <c r="K68" s="7" t="str">
        <f t="shared" ca="1" si="7"/>
        <v/>
      </c>
      <c r="L68" s="7" t="str">
        <f ca="1">IF(J68="","",SUM($J$2:J68))</f>
        <v/>
      </c>
    </row>
    <row r="69" spans="1:12" s="7" customFormat="1" x14ac:dyDescent="0.25">
      <c r="A69"/>
      <c r="B69"/>
      <c r="C69" s="7" t="str">
        <f t="shared" ca="1" si="4"/>
        <v/>
      </c>
      <c r="D69" s="7" t="str">
        <f ca="1">IF(E69="","",INT(SUM($E$2:E69)))</f>
        <v/>
      </c>
      <c r="E69" t="str">
        <f ca="1">IF(SUM($E$2:E68)&lt;$B$6,invexp($B$4),"")</f>
        <v/>
      </c>
      <c r="F69"/>
      <c r="G69" t="str">
        <f ca="1">IF(E69="","",invexp($B$5))</f>
        <v/>
      </c>
      <c r="H69" t="str">
        <f ca="1">IF(H68="","",IF(H68&lt;0,"",IF(E69="","",$B$1+D69*$B$7-SUM($G$2:G69))))</f>
        <v/>
      </c>
      <c r="I69" s="7">
        <f t="shared" ca="1" si="5"/>
        <v>0</v>
      </c>
      <c r="J69" s="7" t="str">
        <f t="shared" ca="1" si="6"/>
        <v/>
      </c>
      <c r="K69" s="7" t="str">
        <f t="shared" ca="1" si="7"/>
        <v/>
      </c>
      <c r="L69" s="7" t="str">
        <f ca="1">IF(J69="","",SUM($J$2:J69))</f>
        <v/>
      </c>
    </row>
    <row r="70" spans="1:12" s="7" customFormat="1" x14ac:dyDescent="0.25">
      <c r="A70"/>
      <c r="B70"/>
      <c r="C70" s="7" t="str">
        <f t="shared" ca="1" si="4"/>
        <v/>
      </c>
      <c r="D70" s="7" t="str">
        <f ca="1">IF(E70="","",INT(SUM($E$2:E70)))</f>
        <v/>
      </c>
      <c r="E70" t="str">
        <f ca="1">IF(SUM($E$2:E69)&lt;$B$6,invexp($B$4),"")</f>
        <v/>
      </c>
      <c r="F70"/>
      <c r="G70" t="str">
        <f ca="1">IF(E70="","",invexp($B$5))</f>
        <v/>
      </c>
      <c r="H70" t="str">
        <f ca="1">IF(H69="","",IF(H69&lt;0,"",IF(E70="","",$B$1+D70*$B$7-SUM($G$2:G70))))</f>
        <v/>
      </c>
      <c r="I70" s="7">
        <f t="shared" ca="1" si="5"/>
        <v>0</v>
      </c>
      <c r="J70" s="7" t="str">
        <f t="shared" ca="1" si="6"/>
        <v/>
      </c>
      <c r="K70" s="7" t="str">
        <f t="shared" ca="1" si="7"/>
        <v/>
      </c>
      <c r="L70" s="7" t="str">
        <f ca="1">IF(J70="","",SUM($J$2:J70))</f>
        <v/>
      </c>
    </row>
    <row r="71" spans="1:12" s="7" customFormat="1" x14ac:dyDescent="0.25">
      <c r="A71"/>
      <c r="B71"/>
      <c r="C71" s="7" t="str">
        <f t="shared" ca="1" si="4"/>
        <v/>
      </c>
      <c r="D71" s="7" t="str">
        <f ca="1">IF(E71="","",INT(SUM($E$2:E71)))</f>
        <v/>
      </c>
      <c r="E71" t="str">
        <f ca="1">IF(SUM($E$2:E70)&lt;$B$6,invexp($B$4),"")</f>
        <v/>
      </c>
      <c r="F71"/>
      <c r="G71" t="str">
        <f ca="1">IF(E71="","",invexp($B$5))</f>
        <v/>
      </c>
      <c r="H71" t="str">
        <f ca="1">IF(H70="","",IF(H70&lt;0,"",IF(E71="","",$B$1+D71*$B$7-SUM($G$2:G71))))</f>
        <v/>
      </c>
      <c r="I71" s="7">
        <f t="shared" ca="1" si="5"/>
        <v>0</v>
      </c>
      <c r="J71" s="7" t="str">
        <f t="shared" ca="1" si="6"/>
        <v/>
      </c>
      <c r="K71" s="7" t="str">
        <f t="shared" ca="1" si="7"/>
        <v/>
      </c>
      <c r="L71" s="7" t="str">
        <f ca="1">IF(J71="","",SUM($J$2:J71))</f>
        <v/>
      </c>
    </row>
    <row r="72" spans="1:12" s="7" customFormat="1" x14ac:dyDescent="0.25">
      <c r="A72"/>
      <c r="B72"/>
      <c r="C72" s="7" t="str">
        <f t="shared" ca="1" si="4"/>
        <v/>
      </c>
      <c r="D72" s="7" t="str">
        <f ca="1">IF(E72="","",INT(SUM($E$2:E72)))</f>
        <v/>
      </c>
      <c r="E72" t="str">
        <f ca="1">IF(SUM($E$2:E71)&lt;$B$6,invexp($B$4),"")</f>
        <v/>
      </c>
      <c r="F72"/>
      <c r="G72" t="str">
        <f ca="1">IF(E72="","",invexp($B$5))</f>
        <v/>
      </c>
      <c r="H72" t="str">
        <f ca="1">IF(H71="","",IF(H71&lt;0,"",IF(E72="","",$B$1+D72*$B$7-SUM($G$2:G72))))</f>
        <v/>
      </c>
      <c r="I72" s="7">
        <f t="shared" ca="1" si="5"/>
        <v>0</v>
      </c>
      <c r="J72" s="7" t="str">
        <f t="shared" ca="1" si="6"/>
        <v/>
      </c>
      <c r="K72" s="7" t="str">
        <f t="shared" ca="1" si="7"/>
        <v/>
      </c>
      <c r="L72" s="7" t="str">
        <f ca="1">IF(J72="","",SUM($J$2:J72))</f>
        <v/>
      </c>
    </row>
    <row r="73" spans="1:12" s="7" customFormat="1" x14ac:dyDescent="0.25">
      <c r="A73"/>
      <c r="B73"/>
      <c r="C73" s="7" t="str">
        <f t="shared" ca="1" si="4"/>
        <v/>
      </c>
      <c r="D73" s="7" t="str">
        <f ca="1">IF(E73="","",INT(SUM($E$2:E73)))</f>
        <v/>
      </c>
      <c r="E73" t="str">
        <f ca="1">IF(SUM($E$2:E72)&lt;$B$6,invexp($B$4),"")</f>
        <v/>
      </c>
      <c r="F73"/>
      <c r="G73" t="str">
        <f ca="1">IF(E73="","",invexp($B$5))</f>
        <v/>
      </c>
      <c r="H73" t="str">
        <f ca="1">IF(H72="","",IF(H72&lt;0,"",IF(E73="","",$B$1+D73*$B$7-SUM($G$2:G73))))</f>
        <v/>
      </c>
      <c r="I73" s="7">
        <f t="shared" ca="1" si="5"/>
        <v>0</v>
      </c>
      <c r="J73" s="7" t="str">
        <f t="shared" ca="1" si="6"/>
        <v/>
      </c>
      <c r="K73" s="7" t="str">
        <f t="shared" ca="1" si="7"/>
        <v/>
      </c>
      <c r="L73" s="7" t="str">
        <f ca="1">IF(J73="","",SUM($J$2:J73))</f>
        <v/>
      </c>
    </row>
    <row r="74" spans="1:12" s="7" customFormat="1" x14ac:dyDescent="0.25">
      <c r="A74"/>
      <c r="B74"/>
      <c r="C74" s="7" t="str">
        <f t="shared" ca="1" si="4"/>
        <v/>
      </c>
      <c r="D74" s="7" t="str">
        <f ca="1">IF(E74="","",INT(SUM($E$2:E74)))</f>
        <v/>
      </c>
      <c r="E74" t="str">
        <f ca="1">IF(SUM($E$2:E73)&lt;$B$6,invexp($B$4),"")</f>
        <v/>
      </c>
      <c r="F74"/>
      <c r="G74" t="str">
        <f ca="1">IF(E74="","",invexp($B$5))</f>
        <v/>
      </c>
      <c r="H74" t="str">
        <f ca="1">IF(H73="","",IF(H73&lt;0,"",IF(E74="","",$B$1+D74*$B$7-SUM($G$2:G74))))</f>
        <v/>
      </c>
      <c r="I74" s="7">
        <f t="shared" ca="1" si="5"/>
        <v>0</v>
      </c>
      <c r="J74" s="7" t="str">
        <f t="shared" ca="1" si="6"/>
        <v/>
      </c>
      <c r="K74" s="7" t="str">
        <f t="shared" ca="1" si="7"/>
        <v/>
      </c>
      <c r="L74" s="7" t="str">
        <f ca="1">IF(J74="","",SUM($J$2:J74))</f>
        <v/>
      </c>
    </row>
    <row r="75" spans="1:12" s="7" customFormat="1" x14ac:dyDescent="0.25">
      <c r="A75"/>
      <c r="B75"/>
      <c r="C75" s="7" t="str">
        <f t="shared" ca="1" si="4"/>
        <v/>
      </c>
      <c r="D75" s="7" t="str">
        <f ca="1">IF(E75="","",INT(SUM($E$2:E75)))</f>
        <v/>
      </c>
      <c r="E75" t="str">
        <f ca="1">IF(SUM($E$2:E74)&lt;$B$6,invexp($B$4),"")</f>
        <v/>
      </c>
      <c r="F75"/>
      <c r="G75" t="str">
        <f ca="1">IF(E75="","",invexp($B$5))</f>
        <v/>
      </c>
      <c r="H75" t="str">
        <f ca="1">IF(H74="","",IF(H74&lt;0,"",IF(E75="","",$B$1+D75*$B$7-SUM($G$2:G75))))</f>
        <v/>
      </c>
      <c r="I75" s="7">
        <f t="shared" ca="1" si="5"/>
        <v>0</v>
      </c>
      <c r="J75" s="7" t="str">
        <f t="shared" ca="1" si="6"/>
        <v/>
      </c>
      <c r="K75" s="7" t="str">
        <f t="shared" ca="1" si="7"/>
        <v/>
      </c>
      <c r="L75" s="7" t="str">
        <f ca="1">IF(J75="","",SUM($J$2:J75))</f>
        <v/>
      </c>
    </row>
    <row r="76" spans="1:12" s="7" customFormat="1" x14ac:dyDescent="0.25">
      <c r="A76"/>
      <c r="B76"/>
      <c r="C76" s="7" t="str">
        <f t="shared" ca="1" si="4"/>
        <v/>
      </c>
      <c r="D76" s="7" t="str">
        <f ca="1">IF(E76="","",INT(SUM($E$2:E76)))</f>
        <v/>
      </c>
      <c r="E76" t="str">
        <f ca="1">IF(SUM($E$2:E75)&lt;$B$6,invexp($B$4),"")</f>
        <v/>
      </c>
      <c r="F76"/>
      <c r="G76" t="str">
        <f ca="1">IF(E76="","",invexp($B$5))</f>
        <v/>
      </c>
      <c r="H76" t="str">
        <f ca="1">IF(H75="","",IF(H75&lt;0,"",IF(E76="","",$B$1+D76*$B$7-SUM($G$2:G76))))</f>
        <v/>
      </c>
      <c r="I76" s="7">
        <f t="shared" ca="1" si="5"/>
        <v>0</v>
      </c>
      <c r="J76" s="7" t="str">
        <f t="shared" ca="1" si="6"/>
        <v/>
      </c>
      <c r="K76" s="7" t="str">
        <f t="shared" ca="1" si="7"/>
        <v/>
      </c>
      <c r="L76" s="7" t="str">
        <f ca="1">IF(J76="","",SUM($J$2:J76))</f>
        <v/>
      </c>
    </row>
    <row r="77" spans="1:12" s="7" customFormat="1" x14ac:dyDescent="0.25">
      <c r="A77"/>
      <c r="B77"/>
      <c r="C77" s="7" t="str">
        <f t="shared" ca="1" si="4"/>
        <v/>
      </c>
      <c r="D77" s="7" t="str">
        <f ca="1">IF(E77="","",INT(SUM($E$2:E77)))</f>
        <v/>
      </c>
      <c r="E77" t="str">
        <f ca="1">IF(SUM($E$2:E76)&lt;$B$6,invexp($B$4),"")</f>
        <v/>
      </c>
      <c r="F77"/>
      <c r="G77" t="str">
        <f ca="1">IF(E77="","",invexp($B$5))</f>
        <v/>
      </c>
      <c r="H77" t="str">
        <f ca="1">IF(H76="","",IF(H76&lt;0,"",IF(E77="","",$B$1+D77*$B$7-SUM($G$2:G77))))</f>
        <v/>
      </c>
      <c r="I77" s="7">
        <f t="shared" ca="1" si="5"/>
        <v>0</v>
      </c>
      <c r="J77" s="7" t="str">
        <f t="shared" ca="1" si="6"/>
        <v/>
      </c>
      <c r="K77" s="7" t="str">
        <f t="shared" ca="1" si="7"/>
        <v/>
      </c>
      <c r="L77" s="7" t="str">
        <f ca="1">IF(J77="","",SUM($J$2:J77))</f>
        <v/>
      </c>
    </row>
    <row r="78" spans="1:12" s="7" customFormat="1" x14ac:dyDescent="0.25">
      <c r="A78"/>
      <c r="B78"/>
      <c r="C78" s="7" t="str">
        <f t="shared" ca="1" si="4"/>
        <v/>
      </c>
      <c r="D78" s="7" t="str">
        <f ca="1">IF(E78="","",INT(SUM($E$2:E78)))</f>
        <v/>
      </c>
      <c r="E78" t="str">
        <f ca="1">IF(SUM($E$2:E77)&lt;$B$6,invexp($B$4),"")</f>
        <v/>
      </c>
      <c r="F78"/>
      <c r="G78" t="str">
        <f ca="1">IF(E78="","",invexp($B$5))</f>
        <v/>
      </c>
      <c r="H78" t="str">
        <f ca="1">IF(H77="","",IF(H77&lt;0,"",IF(E78="","",$B$1+D78*$B$7-SUM($G$2:G78))))</f>
        <v/>
      </c>
      <c r="I78" s="7">
        <f t="shared" ca="1" si="5"/>
        <v>0</v>
      </c>
      <c r="J78" s="7" t="str">
        <f t="shared" ca="1" si="6"/>
        <v/>
      </c>
      <c r="K78" s="7" t="str">
        <f t="shared" ca="1" si="7"/>
        <v/>
      </c>
      <c r="L78" s="7" t="str">
        <f ca="1">IF(J78="","",SUM($J$2:J78))</f>
        <v/>
      </c>
    </row>
    <row r="79" spans="1:12" s="7" customFormat="1" x14ac:dyDescent="0.25">
      <c r="A79"/>
      <c r="B79"/>
      <c r="C79" s="7" t="str">
        <f t="shared" ca="1" si="4"/>
        <v/>
      </c>
      <c r="D79" s="7" t="str">
        <f ca="1">IF(E79="","",INT(SUM($E$2:E79)))</f>
        <v/>
      </c>
      <c r="E79" t="str">
        <f ca="1">IF(SUM($E$2:E78)&lt;$B$6,invexp($B$4),"")</f>
        <v/>
      </c>
      <c r="F79"/>
      <c r="G79" t="str">
        <f ca="1">IF(E79="","",invexp($B$5))</f>
        <v/>
      </c>
      <c r="H79" t="str">
        <f ca="1">IF(H78="","",IF(H78&lt;0,"",IF(E79="","",$B$1+D79*$B$7-SUM($G$2:G79))))</f>
        <v/>
      </c>
      <c r="I79" s="7">
        <f t="shared" ca="1" si="5"/>
        <v>0</v>
      </c>
      <c r="J79" s="7" t="str">
        <f t="shared" ca="1" si="6"/>
        <v/>
      </c>
      <c r="K79" s="7" t="str">
        <f t="shared" ca="1" si="7"/>
        <v/>
      </c>
      <c r="L79" s="7" t="str">
        <f ca="1">IF(J79="","",SUM($J$2:J79))</f>
        <v/>
      </c>
    </row>
    <row r="80" spans="1:12" s="7" customFormat="1" x14ac:dyDescent="0.25">
      <c r="A80"/>
      <c r="B80"/>
      <c r="C80" s="7" t="str">
        <f t="shared" ca="1" si="4"/>
        <v/>
      </c>
      <c r="D80" s="7" t="str">
        <f ca="1">IF(E80="","",INT(SUM($E$2:E80)))</f>
        <v/>
      </c>
      <c r="E80" t="str">
        <f ca="1">IF(SUM($E$2:E79)&lt;$B$6,invexp($B$4),"")</f>
        <v/>
      </c>
      <c r="F80"/>
      <c r="G80" t="str">
        <f ca="1">IF(E80="","",invexp($B$5))</f>
        <v/>
      </c>
      <c r="H80" t="str">
        <f ca="1">IF(H79="","",IF(H79&lt;0,"",IF(E80="","",$B$1+D80*$B$7-SUM($G$2:G80))))</f>
        <v/>
      </c>
      <c r="I80" s="7">
        <f t="shared" ca="1" si="5"/>
        <v>0</v>
      </c>
      <c r="J80" s="7" t="str">
        <f t="shared" ca="1" si="6"/>
        <v/>
      </c>
      <c r="K80" s="7" t="str">
        <f t="shared" ca="1" si="7"/>
        <v/>
      </c>
      <c r="L80" s="7" t="str">
        <f ca="1">IF(J80="","",SUM($J$2:J80))</f>
        <v/>
      </c>
    </row>
    <row r="81" spans="1:12" s="7" customFormat="1" x14ac:dyDescent="0.25">
      <c r="A81"/>
      <c r="B81"/>
      <c r="C81" s="7" t="str">
        <f t="shared" ca="1" si="4"/>
        <v/>
      </c>
      <c r="D81" s="7" t="str">
        <f ca="1">IF(E81="","",INT(SUM($E$2:E81)))</f>
        <v/>
      </c>
      <c r="E81" t="str">
        <f ca="1">IF(SUM($E$2:E80)&lt;$B$6,invexp($B$4),"")</f>
        <v/>
      </c>
      <c r="F81"/>
      <c r="G81" t="str">
        <f ca="1">IF(E81="","",invexp($B$5))</f>
        <v/>
      </c>
      <c r="H81" t="str">
        <f ca="1">IF(H80="","",IF(H80&lt;0,"",IF(E81="","",$B$1+D81*$B$7-SUM($G$2:G81))))</f>
        <v/>
      </c>
      <c r="I81" s="7">
        <f t="shared" ca="1" si="5"/>
        <v>0</v>
      </c>
      <c r="J81" s="7" t="str">
        <f t="shared" ca="1" si="6"/>
        <v/>
      </c>
      <c r="K81" s="7" t="str">
        <f t="shared" ca="1" si="7"/>
        <v/>
      </c>
      <c r="L81" s="7" t="str">
        <f ca="1">IF(J81="","",SUM($J$2:J81))</f>
        <v/>
      </c>
    </row>
    <row r="82" spans="1:12" s="7" customFormat="1" x14ac:dyDescent="0.25">
      <c r="A82"/>
      <c r="B82"/>
      <c r="C82" s="7" t="str">
        <f t="shared" ca="1" si="4"/>
        <v/>
      </c>
      <c r="D82" s="7" t="str">
        <f ca="1">IF(E82="","",INT(SUM($E$2:E82)))</f>
        <v/>
      </c>
      <c r="E82" t="str">
        <f ca="1">IF(SUM($E$2:E81)&lt;$B$6,invexp($B$4),"")</f>
        <v/>
      </c>
      <c r="F82"/>
      <c r="G82" t="str">
        <f ca="1">IF(E82="","",invexp($B$5))</f>
        <v/>
      </c>
      <c r="H82" t="str">
        <f ca="1">IF(H81="","",IF(H81&lt;0,"",IF(E82="","",$B$1+D82*$B$7-SUM($G$2:G82))))</f>
        <v/>
      </c>
      <c r="I82" s="7">
        <f t="shared" ca="1" si="5"/>
        <v>0</v>
      </c>
      <c r="J82" s="7" t="str">
        <f t="shared" ca="1" si="6"/>
        <v/>
      </c>
      <c r="K82" s="7" t="str">
        <f t="shared" ca="1" si="7"/>
        <v/>
      </c>
      <c r="L82" s="7" t="str">
        <f ca="1">IF(J82="","",SUM($J$2:J82))</f>
        <v/>
      </c>
    </row>
    <row r="83" spans="1:12" s="7" customFormat="1" x14ac:dyDescent="0.25">
      <c r="A83"/>
      <c r="B83"/>
      <c r="C83" s="7" t="str">
        <f t="shared" ca="1" si="4"/>
        <v/>
      </c>
      <c r="D83" s="7" t="str">
        <f ca="1">IF(E83="","",INT(SUM($E$2:E83)))</f>
        <v/>
      </c>
      <c r="E83" t="str">
        <f ca="1">IF(SUM($E$2:E82)&lt;$B$6,invexp($B$4),"")</f>
        <v/>
      </c>
      <c r="F83"/>
      <c r="G83" t="str">
        <f ca="1">IF(E83="","",invexp($B$5))</f>
        <v/>
      </c>
      <c r="H83" t="str">
        <f ca="1">IF(H82="","",IF(H82&lt;0,"",IF(E83="","",$B$1+D83*$B$7-SUM($G$2:G83))))</f>
        <v/>
      </c>
      <c r="I83" s="7">
        <f t="shared" ca="1" si="5"/>
        <v>0</v>
      </c>
      <c r="J83" s="7" t="str">
        <f t="shared" ca="1" si="6"/>
        <v/>
      </c>
      <c r="K83" s="7" t="str">
        <f t="shared" ca="1" si="7"/>
        <v/>
      </c>
      <c r="L83" s="7" t="str">
        <f ca="1">IF(J83="","",SUM($J$2:J83))</f>
        <v/>
      </c>
    </row>
    <row r="84" spans="1:12" s="7" customFormat="1" x14ac:dyDescent="0.25">
      <c r="A84"/>
      <c r="B84"/>
      <c r="C84" s="7" t="str">
        <f t="shared" ca="1" si="4"/>
        <v/>
      </c>
      <c r="D84" s="7" t="str">
        <f ca="1">IF(E84="","",INT(SUM($E$2:E84)))</f>
        <v/>
      </c>
      <c r="E84" t="str">
        <f ca="1">IF(SUM($E$2:E83)&lt;$B$6,invexp($B$4),"")</f>
        <v/>
      </c>
      <c r="F84"/>
      <c r="G84" t="str">
        <f ca="1">IF(E84="","",invexp($B$5))</f>
        <v/>
      </c>
      <c r="H84" t="str">
        <f ca="1">IF(H83="","",IF(H83&lt;0,"",IF(E84="","",$B$1+D84*$B$7-SUM($G$2:G84))))</f>
        <v/>
      </c>
      <c r="I84" s="7">
        <f t="shared" ca="1" si="5"/>
        <v>0</v>
      </c>
      <c r="J84" s="7" t="str">
        <f t="shared" ca="1" si="6"/>
        <v/>
      </c>
      <c r="K84" s="7" t="str">
        <f t="shared" ca="1" si="7"/>
        <v/>
      </c>
      <c r="L84" s="7" t="str">
        <f ca="1">IF(J84="","",SUM($J$2:J84))</f>
        <v/>
      </c>
    </row>
    <row r="85" spans="1:12" s="7" customFormat="1" x14ac:dyDescent="0.25">
      <c r="A85"/>
      <c r="B85"/>
      <c r="C85" s="7" t="str">
        <f t="shared" ca="1" si="4"/>
        <v/>
      </c>
      <c r="D85" s="7" t="str">
        <f ca="1">IF(E85="","",INT(SUM($E$2:E85)))</f>
        <v/>
      </c>
      <c r="E85" t="str">
        <f ca="1">IF(SUM($E$2:E84)&lt;$B$6,invexp($B$4),"")</f>
        <v/>
      </c>
      <c r="F85"/>
      <c r="G85" t="str">
        <f ca="1">IF(E85="","",invexp($B$5))</f>
        <v/>
      </c>
      <c r="H85" t="str">
        <f ca="1">IF(H84="","",IF(H84&lt;0,"",IF(E85="","",$B$1+D85*$B$7-SUM($G$2:G85))))</f>
        <v/>
      </c>
      <c r="I85" s="7">
        <f t="shared" ca="1" si="5"/>
        <v>0</v>
      </c>
      <c r="J85" s="7" t="str">
        <f t="shared" ca="1" si="6"/>
        <v/>
      </c>
      <c r="K85" s="7" t="str">
        <f t="shared" ca="1" si="7"/>
        <v/>
      </c>
      <c r="L85" s="7" t="str">
        <f ca="1">IF(J85="","",SUM($J$2:J85))</f>
        <v/>
      </c>
    </row>
    <row r="86" spans="1:12" s="7" customFormat="1" x14ac:dyDescent="0.25">
      <c r="A86"/>
      <c r="B86"/>
      <c r="C86" s="7" t="str">
        <f t="shared" ca="1" si="4"/>
        <v/>
      </c>
      <c r="D86" s="7" t="str">
        <f ca="1">IF(E86="","",INT(SUM($E$2:E86)))</f>
        <v/>
      </c>
      <c r="E86" t="str">
        <f ca="1">IF(SUM($E$2:E85)&lt;$B$6,invexp($B$4),"")</f>
        <v/>
      </c>
      <c r="F86"/>
      <c r="G86" t="str">
        <f ca="1">IF(E86="","",invexp($B$5))</f>
        <v/>
      </c>
      <c r="H86" t="str">
        <f ca="1">IF(H85="","",IF(H85&lt;0,"",IF(E86="","",$B$1+D86*$B$7-SUM($G$2:G86))))</f>
        <v/>
      </c>
      <c r="I86" s="7">
        <f t="shared" ca="1" si="5"/>
        <v>0</v>
      </c>
      <c r="J86" s="7" t="str">
        <f t="shared" ca="1" si="6"/>
        <v/>
      </c>
      <c r="K86" s="7" t="str">
        <f t="shared" ca="1" si="7"/>
        <v/>
      </c>
      <c r="L86" s="7" t="str">
        <f ca="1">IF(J86="","",SUM($J$2:J86))</f>
        <v/>
      </c>
    </row>
    <row r="87" spans="1:12" s="7" customFormat="1" x14ac:dyDescent="0.25">
      <c r="A87"/>
      <c r="B87"/>
      <c r="C87" s="7" t="str">
        <f t="shared" ca="1" si="4"/>
        <v/>
      </c>
      <c r="D87" s="7" t="str">
        <f ca="1">IF(E87="","",INT(SUM($E$2:E87)))</f>
        <v/>
      </c>
      <c r="E87" t="str">
        <f ca="1">IF(SUM($E$2:E86)&lt;$B$6,invexp($B$4),"")</f>
        <v/>
      </c>
      <c r="F87"/>
      <c r="G87" t="str">
        <f ca="1">IF(E87="","",invexp($B$5))</f>
        <v/>
      </c>
      <c r="H87" t="str">
        <f ca="1">IF(H86="","",IF(H86&lt;0,"",IF(E87="","",$B$1+D87*$B$7-SUM($G$2:G87))))</f>
        <v/>
      </c>
      <c r="I87" s="7">
        <f t="shared" ca="1" si="5"/>
        <v>0</v>
      </c>
      <c r="J87" s="7" t="str">
        <f t="shared" ca="1" si="6"/>
        <v/>
      </c>
      <c r="K87" s="7" t="str">
        <f t="shared" ca="1" si="7"/>
        <v/>
      </c>
      <c r="L87" s="7" t="str">
        <f ca="1">IF(J87="","",SUM($J$2:J87))</f>
        <v/>
      </c>
    </row>
    <row r="88" spans="1:12" s="7" customFormat="1" x14ac:dyDescent="0.25">
      <c r="A88"/>
      <c r="B88"/>
      <c r="C88" s="7" t="str">
        <f t="shared" ca="1" si="4"/>
        <v/>
      </c>
      <c r="D88" s="7" t="str">
        <f ca="1">IF(E88="","",INT(SUM($E$2:E88)))</f>
        <v/>
      </c>
      <c r="E88" t="str">
        <f ca="1">IF(SUM($E$2:E87)&lt;$B$6,invexp($B$4),"")</f>
        <v/>
      </c>
      <c r="F88"/>
      <c r="G88" t="str">
        <f ca="1">IF(E88="","",invexp($B$5))</f>
        <v/>
      </c>
      <c r="H88" t="str">
        <f ca="1">IF(H87="","",IF(H87&lt;0,"",IF(E88="","",$B$1+D88*$B$7-SUM($G$2:G88))))</f>
        <v/>
      </c>
      <c r="I88" s="7">
        <f t="shared" ca="1" si="5"/>
        <v>0</v>
      </c>
      <c r="J88" s="7" t="str">
        <f t="shared" ca="1" si="6"/>
        <v/>
      </c>
      <c r="K88" s="7" t="str">
        <f t="shared" ca="1" si="7"/>
        <v/>
      </c>
      <c r="L88" s="7" t="str">
        <f ca="1">IF(J88="","",SUM($J$2:J88))</f>
        <v/>
      </c>
    </row>
    <row r="89" spans="1:12" s="7" customFormat="1" x14ac:dyDescent="0.25">
      <c r="A89"/>
      <c r="B89"/>
      <c r="C89" s="7" t="str">
        <f t="shared" ca="1" si="4"/>
        <v/>
      </c>
      <c r="D89" s="7" t="str">
        <f ca="1">IF(E89="","",INT(SUM($E$2:E89)))</f>
        <v/>
      </c>
      <c r="E89" t="str">
        <f ca="1">IF(SUM($E$2:E88)&lt;$B$6,invexp($B$4),"")</f>
        <v/>
      </c>
      <c r="F89"/>
      <c r="G89" t="str">
        <f ca="1">IF(E89="","",invexp($B$5))</f>
        <v/>
      </c>
      <c r="H89" t="str">
        <f ca="1">IF(H88="","",IF(H88&lt;0,"",IF(E89="","",$B$1+D89*$B$7-SUM($G$2:G89))))</f>
        <v/>
      </c>
      <c r="I89" s="7">
        <f t="shared" ca="1" si="5"/>
        <v>0</v>
      </c>
      <c r="J89" s="7" t="str">
        <f t="shared" ca="1" si="6"/>
        <v/>
      </c>
      <c r="K89" s="7" t="str">
        <f t="shared" ca="1" si="7"/>
        <v/>
      </c>
      <c r="L89" s="7" t="str">
        <f ca="1">IF(J89="","",SUM($J$2:J89))</f>
        <v/>
      </c>
    </row>
    <row r="90" spans="1:12" s="7" customFormat="1" x14ac:dyDescent="0.25">
      <c r="A90"/>
      <c r="B90"/>
      <c r="C90" s="7" t="str">
        <f t="shared" ca="1" si="4"/>
        <v/>
      </c>
      <c r="D90" s="7" t="str">
        <f ca="1">IF(E90="","",INT(SUM($E$2:E90)))</f>
        <v/>
      </c>
      <c r="E90" t="str">
        <f ca="1">IF(SUM($E$2:E89)&lt;$B$6,invexp($B$4),"")</f>
        <v/>
      </c>
      <c r="F90"/>
      <c r="G90" t="str">
        <f ca="1">IF(E90="","",invexp($B$5))</f>
        <v/>
      </c>
      <c r="H90" t="str">
        <f ca="1">IF(H89="","",IF(H89&lt;0,"",IF(E90="","",$B$1+D90*$B$7-SUM($G$2:G90))))</f>
        <v/>
      </c>
      <c r="I90" s="7">
        <f t="shared" ca="1" si="5"/>
        <v>0</v>
      </c>
      <c r="J90" s="7" t="str">
        <f t="shared" ca="1" si="6"/>
        <v/>
      </c>
      <c r="K90" s="7" t="str">
        <f t="shared" ca="1" si="7"/>
        <v/>
      </c>
      <c r="L90" s="7" t="str">
        <f ca="1">IF(J90="","",SUM($J$2:J90))</f>
        <v/>
      </c>
    </row>
    <row r="91" spans="1:12" s="7" customFormat="1" x14ac:dyDescent="0.25">
      <c r="A91"/>
      <c r="B91"/>
      <c r="C91" s="7" t="str">
        <f t="shared" ca="1" si="4"/>
        <v/>
      </c>
      <c r="D91" s="7" t="str">
        <f ca="1">IF(E91="","",INT(SUM($E$2:E91)))</f>
        <v/>
      </c>
      <c r="E91" t="str">
        <f ca="1">IF(SUM($E$2:E90)&lt;$B$6,invexp($B$4),"")</f>
        <v/>
      </c>
      <c r="F91"/>
      <c r="G91" t="str">
        <f ca="1">IF(E91="","",invexp($B$5))</f>
        <v/>
      </c>
      <c r="H91" t="str">
        <f ca="1">IF(H90="","",IF(H90&lt;0,"",IF(E91="","",$B$1+D91*$B$7-SUM($G$2:G91))))</f>
        <v/>
      </c>
      <c r="I91" s="7">
        <f t="shared" ca="1" si="5"/>
        <v>0</v>
      </c>
      <c r="J91" s="7" t="str">
        <f t="shared" ca="1" si="6"/>
        <v/>
      </c>
      <c r="K91" s="7" t="str">
        <f t="shared" ca="1" si="7"/>
        <v/>
      </c>
      <c r="L91" s="7" t="str">
        <f ca="1">IF(J91="","",SUM($J$2:J91))</f>
        <v/>
      </c>
    </row>
    <row r="92" spans="1:12" s="7" customFormat="1" x14ac:dyDescent="0.25">
      <c r="A92"/>
      <c r="B92"/>
      <c r="C92" s="7" t="str">
        <f t="shared" ca="1" si="4"/>
        <v/>
      </c>
      <c r="D92" s="7" t="str">
        <f ca="1">IF(E92="","",INT(SUM($E$2:E92)))</f>
        <v/>
      </c>
      <c r="E92" t="str">
        <f ca="1">IF(SUM($E$2:E91)&lt;$B$6,invexp($B$4),"")</f>
        <v/>
      </c>
      <c r="F92"/>
      <c r="G92" t="str">
        <f ca="1">IF(E92="","",invexp($B$5))</f>
        <v/>
      </c>
      <c r="H92" t="str">
        <f ca="1">IF(H91="","",IF(H91&lt;0,"",IF(E92="","",$B$1+D92*$B$7-SUM($G$2:G92))))</f>
        <v/>
      </c>
      <c r="I92" s="7">
        <f t="shared" ca="1" si="5"/>
        <v>0</v>
      </c>
      <c r="J92" s="7" t="str">
        <f t="shared" ca="1" si="6"/>
        <v/>
      </c>
      <c r="K92" s="7" t="str">
        <f t="shared" ca="1" si="7"/>
        <v/>
      </c>
      <c r="L92" s="7" t="str">
        <f ca="1">IF(J92="","",SUM($J$2:J92))</f>
        <v/>
      </c>
    </row>
    <row r="93" spans="1:12" s="7" customFormat="1" x14ac:dyDescent="0.25">
      <c r="A93"/>
      <c r="B93"/>
      <c r="C93" s="7" t="str">
        <f t="shared" ca="1" si="4"/>
        <v/>
      </c>
      <c r="D93" s="7" t="str">
        <f ca="1">IF(E93="","",INT(SUM($E$2:E93)))</f>
        <v/>
      </c>
      <c r="E93" t="str">
        <f ca="1">IF(SUM($E$2:E92)&lt;$B$6,invexp($B$4),"")</f>
        <v/>
      </c>
      <c r="F93"/>
      <c r="G93" t="str">
        <f ca="1">IF(E93="","",invexp($B$5))</f>
        <v/>
      </c>
      <c r="H93" t="str">
        <f ca="1">IF(H92="","",IF(H92&lt;0,"",IF(E93="","",$B$1+D93*$B$7-SUM($G$2:G93))))</f>
        <v/>
      </c>
      <c r="I93" s="7">
        <f t="shared" ca="1" si="5"/>
        <v>0</v>
      </c>
      <c r="J93" s="7" t="str">
        <f t="shared" ca="1" si="6"/>
        <v/>
      </c>
      <c r="K93" s="7" t="str">
        <f t="shared" ca="1" si="7"/>
        <v/>
      </c>
      <c r="L93" s="7" t="str">
        <f ca="1">IF(J93="","",SUM($J$2:J93))</f>
        <v/>
      </c>
    </row>
    <row r="94" spans="1:12" s="7" customFormat="1" x14ac:dyDescent="0.25">
      <c r="A94"/>
      <c r="B94"/>
      <c r="C94" s="7" t="str">
        <f t="shared" ca="1" si="4"/>
        <v/>
      </c>
      <c r="D94" s="7" t="str">
        <f ca="1">IF(E94="","",INT(SUM($E$2:E94)))</f>
        <v/>
      </c>
      <c r="E94" t="str">
        <f ca="1">IF(SUM($E$2:E93)&lt;$B$6,invexp($B$4),"")</f>
        <v/>
      </c>
      <c r="F94"/>
      <c r="G94" t="str">
        <f ca="1">IF(E94="","",invexp($B$5))</f>
        <v/>
      </c>
      <c r="H94" t="str">
        <f ca="1">IF(H93="","",IF(H93&lt;0,"",IF(E94="","",$B$1+D94*$B$7-SUM($G$2:G94))))</f>
        <v/>
      </c>
      <c r="I94" s="7">
        <f t="shared" ca="1" si="5"/>
        <v>0</v>
      </c>
      <c r="J94" s="7" t="str">
        <f t="shared" ca="1" si="6"/>
        <v/>
      </c>
      <c r="K94" s="7" t="str">
        <f t="shared" ca="1" si="7"/>
        <v/>
      </c>
      <c r="L94" s="7" t="str">
        <f ca="1">IF(J94="","",SUM($J$2:J94))</f>
        <v/>
      </c>
    </row>
    <row r="95" spans="1:12" s="7" customFormat="1" x14ac:dyDescent="0.25">
      <c r="A95"/>
      <c r="B95"/>
      <c r="C95" s="7" t="str">
        <f t="shared" ca="1" si="4"/>
        <v/>
      </c>
      <c r="D95" s="7" t="str">
        <f ca="1">IF(E95="","",INT(SUM($E$2:E95)))</f>
        <v/>
      </c>
      <c r="E95" t="str">
        <f ca="1">IF(SUM($E$2:E94)&lt;$B$6,invexp($B$4),"")</f>
        <v/>
      </c>
      <c r="F95"/>
      <c r="G95" t="str">
        <f ca="1">IF(E95="","",invexp($B$5))</f>
        <v/>
      </c>
      <c r="H95" t="str">
        <f ca="1">IF(H94="","",IF(H94&lt;0,"",IF(E95="","",$B$1+D95*$B$7-SUM($G$2:G95))))</f>
        <v/>
      </c>
      <c r="I95" s="7">
        <f t="shared" ca="1" si="5"/>
        <v>0</v>
      </c>
      <c r="J95" s="7" t="str">
        <f t="shared" ca="1" si="6"/>
        <v/>
      </c>
      <c r="K95" s="7" t="str">
        <f t="shared" ca="1" si="7"/>
        <v/>
      </c>
      <c r="L95" s="7" t="str">
        <f ca="1">IF(J95="","",SUM($J$2:J95))</f>
        <v/>
      </c>
    </row>
    <row r="96" spans="1:12" s="7" customFormat="1" x14ac:dyDescent="0.25">
      <c r="A96"/>
      <c r="B96"/>
      <c r="C96" s="7" t="str">
        <f t="shared" ca="1" si="4"/>
        <v/>
      </c>
      <c r="D96" s="7" t="str">
        <f ca="1">IF(E96="","",INT(SUM($E$2:E96)))</f>
        <v/>
      </c>
      <c r="E96" t="str">
        <f ca="1">IF(SUM($E$2:E95)&lt;$B$6,invexp($B$4),"")</f>
        <v/>
      </c>
      <c r="F96"/>
      <c r="G96" t="str">
        <f ca="1">IF(E96="","",invexp($B$5))</f>
        <v/>
      </c>
      <c r="H96" t="str">
        <f ca="1">IF(H95="","",IF(H95&lt;0,"",IF(E96="","",$B$1+D96*$B$7-SUM($G$2:G96))))</f>
        <v/>
      </c>
      <c r="I96" s="7">
        <f t="shared" ca="1" si="5"/>
        <v>0</v>
      </c>
      <c r="J96" s="7" t="str">
        <f t="shared" ca="1" si="6"/>
        <v/>
      </c>
      <c r="K96" s="7" t="str">
        <f t="shared" ca="1" si="7"/>
        <v/>
      </c>
      <c r="L96" s="7" t="str">
        <f ca="1">IF(J96="","",SUM($J$2:J96))</f>
        <v/>
      </c>
    </row>
    <row r="97" spans="1:12" s="7" customFormat="1" x14ac:dyDescent="0.25">
      <c r="A97"/>
      <c r="B97"/>
      <c r="C97" s="7" t="str">
        <f t="shared" ca="1" si="4"/>
        <v/>
      </c>
      <c r="D97" s="7" t="str">
        <f ca="1">IF(E97="","",INT(SUM($E$2:E97)))</f>
        <v/>
      </c>
      <c r="E97" t="str">
        <f ca="1">IF(SUM($E$2:E96)&lt;$B$6,invexp($B$4),"")</f>
        <v/>
      </c>
      <c r="F97"/>
      <c r="G97" t="str">
        <f ca="1">IF(E97="","",invexp($B$5))</f>
        <v/>
      </c>
      <c r="H97" t="str">
        <f ca="1">IF(H96="","",IF(H96&lt;0,"",IF(E97="","",$B$1+D97*$B$7-SUM($G$2:G97))))</f>
        <v/>
      </c>
      <c r="I97" s="7">
        <f t="shared" ca="1" si="5"/>
        <v>0</v>
      </c>
      <c r="J97" s="7" t="str">
        <f t="shared" ca="1" si="6"/>
        <v/>
      </c>
      <c r="K97" s="7" t="str">
        <f t="shared" ca="1" si="7"/>
        <v/>
      </c>
      <c r="L97" s="7" t="str">
        <f ca="1">IF(J97="","",SUM($J$2:J97))</f>
        <v/>
      </c>
    </row>
    <row r="98" spans="1:12" s="7" customFormat="1" x14ac:dyDescent="0.25">
      <c r="A98"/>
      <c r="B98"/>
      <c r="C98" s="7" t="str">
        <f t="shared" ca="1" si="4"/>
        <v/>
      </c>
      <c r="D98" s="7" t="str">
        <f ca="1">IF(E98="","",INT(SUM($E$2:E98)))</f>
        <v/>
      </c>
      <c r="E98" t="str">
        <f ca="1">IF(SUM($E$2:E97)&lt;$B$6,invexp($B$4),"")</f>
        <v/>
      </c>
      <c r="F98"/>
      <c r="G98" t="str">
        <f ca="1">IF(E98="","",invexp($B$5))</f>
        <v/>
      </c>
      <c r="H98" t="str">
        <f ca="1">IF(H97="","",IF(H97&lt;0,"",IF(E98="","",$B$1+D98*$B$7-SUM($G$2:G98))))</f>
        <v/>
      </c>
      <c r="I98" s="7">
        <f t="shared" ca="1" si="5"/>
        <v>0</v>
      </c>
      <c r="J98" s="7" t="str">
        <f t="shared" ca="1" si="6"/>
        <v/>
      </c>
      <c r="K98" s="7" t="str">
        <f t="shared" ca="1" si="7"/>
        <v/>
      </c>
      <c r="L98" s="7" t="str">
        <f ca="1">IF(J98="","",SUM($J$2:J98))</f>
        <v/>
      </c>
    </row>
    <row r="99" spans="1:12" s="7" customFormat="1" x14ac:dyDescent="0.25">
      <c r="A99"/>
      <c r="B99"/>
      <c r="C99" s="7" t="str">
        <f t="shared" ca="1" si="4"/>
        <v/>
      </c>
      <c r="D99" s="7" t="str">
        <f ca="1">IF(E99="","",INT(SUM($E$2:E99)))</f>
        <v/>
      </c>
      <c r="E99" t="str">
        <f ca="1">IF(SUM($E$2:E98)&lt;$B$6,invexp($B$4),"")</f>
        <v/>
      </c>
      <c r="F99"/>
      <c r="G99" t="str">
        <f ca="1">IF(E99="","",invexp($B$5))</f>
        <v/>
      </c>
      <c r="H99" t="str">
        <f ca="1">IF(H98="","",IF(H98&lt;0,"",IF(E99="","",$B$1+D99*$B$7-SUM($G$2:G99))))</f>
        <v/>
      </c>
      <c r="I99" s="7">
        <f t="shared" ca="1" si="5"/>
        <v>0</v>
      </c>
      <c r="J99" s="7" t="str">
        <f t="shared" ca="1" si="6"/>
        <v/>
      </c>
      <c r="K99" s="7" t="str">
        <f t="shared" ca="1" si="7"/>
        <v/>
      </c>
      <c r="L99" s="7" t="str">
        <f ca="1">IF(J99="","",SUM($J$2:J99))</f>
        <v/>
      </c>
    </row>
    <row r="100" spans="1:12" s="7" customFormat="1" x14ac:dyDescent="0.25">
      <c r="A100"/>
      <c r="B100"/>
      <c r="C100" s="7" t="str">
        <f t="shared" ca="1" si="4"/>
        <v/>
      </c>
      <c r="D100" s="7" t="str">
        <f ca="1">IF(E100="","",INT(SUM($E$2:E100)))</f>
        <v/>
      </c>
      <c r="E100" t="str">
        <f ca="1">IF(SUM($E$2:E99)&lt;$B$6,invexp($B$4),"")</f>
        <v/>
      </c>
      <c r="F100"/>
      <c r="G100" t="str">
        <f ca="1">IF(E100="","",invexp($B$5))</f>
        <v/>
      </c>
      <c r="H100" t="str">
        <f ca="1">IF(H99="","",IF(H99&lt;0,"",IF(E100="","",$B$1+D100*$B$7-SUM($G$2:G100))))</f>
        <v/>
      </c>
      <c r="I100" s="7">
        <f t="shared" ca="1" si="5"/>
        <v>0</v>
      </c>
      <c r="J100" s="7" t="str">
        <f t="shared" ca="1" si="6"/>
        <v/>
      </c>
      <c r="K100" s="7" t="str">
        <f t="shared" ca="1" si="7"/>
        <v/>
      </c>
      <c r="L100" s="7" t="str">
        <f ca="1">IF(J100="","",SUM($J$2:J100))</f>
        <v/>
      </c>
    </row>
    <row r="101" spans="1:12" s="7" customFormat="1" x14ac:dyDescent="0.25">
      <c r="A101"/>
      <c r="B101"/>
      <c r="C101" s="7" t="str">
        <f t="shared" ca="1" si="4"/>
        <v/>
      </c>
      <c r="D101" s="7" t="str">
        <f ca="1">IF(E101="","",INT(SUM($E$2:E101)))</f>
        <v/>
      </c>
      <c r="E101" t="str">
        <f ca="1">IF(SUM($E$2:E100)&lt;$B$6,invexp($B$4),"")</f>
        <v/>
      </c>
      <c r="F101"/>
      <c r="G101" t="str">
        <f ca="1">IF(E101="","",invexp($B$5))</f>
        <v/>
      </c>
      <c r="H101" t="str">
        <f ca="1">IF(H100="","",IF(H100&lt;0,"",IF(E101="","",$B$1+D101*$B$7-SUM($G$2:G101))))</f>
        <v/>
      </c>
      <c r="I101" s="7">
        <f t="shared" ca="1" si="5"/>
        <v>0</v>
      </c>
      <c r="J101" s="7" t="str">
        <f t="shared" ca="1" si="6"/>
        <v/>
      </c>
      <c r="K101" s="7" t="str">
        <f t="shared" ca="1" si="7"/>
        <v/>
      </c>
      <c r="L101" s="7" t="str">
        <f ca="1">IF(J101="","",SUM($J$2:J101))</f>
        <v/>
      </c>
    </row>
    <row r="102" spans="1:12" s="7" customFormat="1" x14ac:dyDescent="0.25">
      <c r="A102"/>
      <c r="B102"/>
      <c r="C102" s="7" t="str">
        <f t="shared" ca="1" si="4"/>
        <v/>
      </c>
      <c r="D102" s="7" t="str">
        <f ca="1">IF(E102="","",INT(SUM($E$2:E102)))</f>
        <v/>
      </c>
      <c r="E102" t="str">
        <f ca="1">IF(SUM($E$2:E101)&lt;$B$6,invexp($B$4),"")</f>
        <v/>
      </c>
      <c r="F102"/>
      <c r="G102" t="str">
        <f ca="1">IF(E102="","",invexp($B$5))</f>
        <v/>
      </c>
      <c r="H102" t="str">
        <f ca="1">IF(H101="","",IF(H101&lt;0,"",IF(E102="","",$B$1+D102*$B$7-SUM($G$2:G102))))</f>
        <v/>
      </c>
      <c r="I102" s="7">
        <f t="shared" ca="1" si="5"/>
        <v>0</v>
      </c>
      <c r="J102" s="7" t="str">
        <f t="shared" ca="1" si="6"/>
        <v/>
      </c>
      <c r="K102" s="7" t="str">
        <f t="shared" ca="1" si="7"/>
        <v/>
      </c>
      <c r="L102" s="7" t="str">
        <f ca="1">IF(J102="","",SUM($J$2:J102))</f>
        <v/>
      </c>
    </row>
    <row r="103" spans="1:12" s="7" customFormat="1" x14ac:dyDescent="0.25">
      <c r="A103"/>
      <c r="B103"/>
      <c r="C103" s="7" t="str">
        <f t="shared" ca="1" si="4"/>
        <v/>
      </c>
      <c r="D103" s="7" t="str">
        <f ca="1">IF(E103="","",INT(SUM($E$2:E103)))</f>
        <v/>
      </c>
      <c r="E103" t="str">
        <f ca="1">IF(SUM($E$2:E102)&lt;$B$6,invexp($B$4),"")</f>
        <v/>
      </c>
      <c r="F103"/>
      <c r="G103" t="str">
        <f ca="1">IF(E103="","",invexp($B$5))</f>
        <v/>
      </c>
      <c r="H103" t="str">
        <f ca="1">IF(H102="","",IF(H102&lt;0,"",IF(E103="","",$B$1+D103*$B$7-SUM($G$2:G103))))</f>
        <v/>
      </c>
      <c r="I103" s="7">
        <f t="shared" ca="1" si="5"/>
        <v>0</v>
      </c>
      <c r="J103" s="7" t="str">
        <f t="shared" ca="1" si="6"/>
        <v/>
      </c>
      <c r="K103" s="7" t="str">
        <f t="shared" ca="1" si="7"/>
        <v/>
      </c>
      <c r="L103" s="7" t="str">
        <f ca="1">IF(J103="","",SUM($J$2:J103))</f>
        <v/>
      </c>
    </row>
    <row r="104" spans="1:12" s="7" customFormat="1" x14ac:dyDescent="0.25">
      <c r="A104"/>
      <c r="B104"/>
      <c r="C104" s="7" t="str">
        <f t="shared" ca="1" si="4"/>
        <v/>
      </c>
      <c r="D104" s="7" t="str">
        <f ca="1">IF(E104="","",INT(SUM($E$2:E104)))</f>
        <v/>
      </c>
      <c r="E104" t="str">
        <f ca="1">IF(SUM($E$2:E103)&lt;$B$6,invexp($B$4),"")</f>
        <v/>
      </c>
      <c r="F104"/>
      <c r="G104" t="str">
        <f ca="1">IF(E104="","",invexp($B$5))</f>
        <v/>
      </c>
      <c r="H104" t="str">
        <f ca="1">IF(H103="","",IF(H103&lt;0,"",IF(E104="","",$B$1+D104*$B$7-SUM($G$2:G104))))</f>
        <v/>
      </c>
      <c r="I104" s="7">
        <f t="shared" ca="1" si="5"/>
        <v>0</v>
      </c>
      <c r="J104" s="7" t="str">
        <f t="shared" ca="1" si="6"/>
        <v/>
      </c>
      <c r="K104" s="7" t="str">
        <f t="shared" ca="1" si="7"/>
        <v/>
      </c>
      <c r="L104" s="7" t="str">
        <f ca="1">IF(J104="","",SUM($J$2:J104))</f>
        <v/>
      </c>
    </row>
    <row r="105" spans="1:12" s="7" customFormat="1" x14ac:dyDescent="0.25">
      <c r="A105"/>
      <c r="B105"/>
      <c r="C105" s="7" t="str">
        <f t="shared" ca="1" si="4"/>
        <v/>
      </c>
      <c r="D105" s="7" t="str">
        <f ca="1">IF(E105="","",INT(SUM($E$2:E105)))</f>
        <v/>
      </c>
      <c r="E105" t="str">
        <f ca="1">IF(SUM($E$2:E104)&lt;$B$6,invexp($B$4),"")</f>
        <v/>
      </c>
      <c r="F105"/>
      <c r="G105" t="str">
        <f ca="1">IF(E105="","",invexp($B$5))</f>
        <v/>
      </c>
      <c r="H105" t="str">
        <f ca="1">IF(H104="","",IF(H104&lt;0,"",IF(E105="","",$B$1+D105*$B$7-SUM($G$2:G105))))</f>
        <v/>
      </c>
      <c r="I105" s="7">
        <f t="shared" ca="1" si="5"/>
        <v>0</v>
      </c>
      <c r="J105" s="7" t="str">
        <f t="shared" ca="1" si="6"/>
        <v/>
      </c>
      <c r="K105" s="7" t="str">
        <f t="shared" ca="1" si="7"/>
        <v/>
      </c>
      <c r="L105" s="7" t="str">
        <f ca="1">IF(J105="","",SUM($J$2:J105))</f>
        <v/>
      </c>
    </row>
    <row r="106" spans="1:12" s="7" customFormat="1" x14ac:dyDescent="0.25">
      <c r="A106"/>
      <c r="B106"/>
      <c r="C106" s="7" t="str">
        <f t="shared" ca="1" si="4"/>
        <v/>
      </c>
      <c r="D106" s="7" t="str">
        <f ca="1">IF(E106="","",INT(SUM($E$2:E106)))</f>
        <v/>
      </c>
      <c r="E106" t="str">
        <f ca="1">IF(SUM($E$2:E105)&lt;$B$6,invexp($B$4),"")</f>
        <v/>
      </c>
      <c r="F106"/>
      <c r="G106" t="str">
        <f ca="1">IF(E106="","",invexp($B$5))</f>
        <v/>
      </c>
      <c r="H106" t="str">
        <f ca="1">IF(H105="","",IF(H105&lt;0,"",IF(E106="","",$B$1+D106*$B$7-SUM($G$2:G106))))</f>
        <v/>
      </c>
      <c r="I106" s="7">
        <f t="shared" ca="1" si="5"/>
        <v>0</v>
      </c>
      <c r="J106" s="7" t="str">
        <f t="shared" ca="1" si="6"/>
        <v/>
      </c>
      <c r="K106" s="7" t="str">
        <f t="shared" ca="1" si="7"/>
        <v/>
      </c>
      <c r="L106" s="7" t="str">
        <f ca="1">IF(J106="","",SUM($J$2:J106))</f>
        <v/>
      </c>
    </row>
    <row r="107" spans="1:12" s="7" customFormat="1" x14ac:dyDescent="0.25">
      <c r="A107"/>
      <c r="B107"/>
      <c r="C107" s="7" t="str">
        <f t="shared" ca="1" si="4"/>
        <v/>
      </c>
      <c r="D107" s="7" t="str">
        <f ca="1">IF(E107="","",INT(SUM($E$2:E107)))</f>
        <v/>
      </c>
      <c r="E107" t="str">
        <f ca="1">IF(SUM($E$2:E106)&lt;$B$6,invexp($B$4),"")</f>
        <v/>
      </c>
      <c r="F107"/>
      <c r="G107" t="str">
        <f ca="1">IF(E107="","",invexp($B$5))</f>
        <v/>
      </c>
      <c r="H107" t="str">
        <f ca="1">IF(H106="","",IF(H106&lt;0,"",IF(E107="","",$B$1+D107*$B$7-SUM($G$2:G107))))</f>
        <v/>
      </c>
      <c r="I107" s="7">
        <f t="shared" ca="1" si="5"/>
        <v>0</v>
      </c>
      <c r="J107" s="7" t="str">
        <f t="shared" ca="1" si="6"/>
        <v/>
      </c>
      <c r="K107" s="7" t="str">
        <f t="shared" ca="1" si="7"/>
        <v/>
      </c>
      <c r="L107" s="7" t="str">
        <f ca="1">IF(J107="","",SUM($J$2:J107))</f>
        <v/>
      </c>
    </row>
    <row r="108" spans="1:12" s="7" customFormat="1" x14ac:dyDescent="0.25">
      <c r="A108"/>
      <c r="B108"/>
      <c r="C108" s="7" t="str">
        <f t="shared" ca="1" si="4"/>
        <v/>
      </c>
      <c r="D108" s="7" t="str">
        <f ca="1">IF(E108="","",INT(SUM($E$2:E108)))</f>
        <v/>
      </c>
      <c r="E108" t="str">
        <f ca="1">IF(SUM($E$2:E107)&lt;$B$6,invexp($B$4),"")</f>
        <v/>
      </c>
      <c r="F108"/>
      <c r="G108" t="str">
        <f ca="1">IF(E108="","",invexp($B$5))</f>
        <v/>
      </c>
      <c r="H108" t="str">
        <f ca="1">IF(H107="","",IF(H107&lt;0,"",IF(E108="","",$B$1+D108*$B$7-SUM($G$2:G108))))</f>
        <v/>
      </c>
      <c r="I108" s="7">
        <f t="shared" ca="1" si="5"/>
        <v>0</v>
      </c>
      <c r="J108" s="7" t="str">
        <f t="shared" ca="1" si="6"/>
        <v/>
      </c>
      <c r="K108" s="7" t="str">
        <f t="shared" ca="1" si="7"/>
        <v/>
      </c>
      <c r="L108" s="7" t="str">
        <f ca="1">IF(J108="","",SUM($J$2:J108))</f>
        <v/>
      </c>
    </row>
    <row r="109" spans="1:12" s="7" customFormat="1" x14ac:dyDescent="0.25">
      <c r="A109"/>
      <c r="B109"/>
      <c r="C109" s="7" t="str">
        <f t="shared" ca="1" si="4"/>
        <v/>
      </c>
      <c r="D109" s="7" t="str">
        <f ca="1">IF(E109="","",INT(SUM($E$2:E109)))</f>
        <v/>
      </c>
      <c r="E109" t="str">
        <f ca="1">IF(SUM($E$2:E108)&lt;$B$6,invexp($B$4),"")</f>
        <v/>
      </c>
      <c r="F109"/>
      <c r="G109" t="str">
        <f ca="1">IF(E109="","",invexp($B$5))</f>
        <v/>
      </c>
      <c r="H109" t="str">
        <f ca="1">IF(H108="","",IF(H108&lt;0,"",IF(E109="","",$B$1+D109*$B$7-SUM($G$2:G109))))</f>
        <v/>
      </c>
      <c r="I109" s="7">
        <f t="shared" ca="1" si="5"/>
        <v>0</v>
      </c>
      <c r="J109" s="7" t="str">
        <f t="shared" ca="1" si="6"/>
        <v/>
      </c>
      <c r="K109" s="7" t="str">
        <f t="shared" ca="1" si="7"/>
        <v/>
      </c>
      <c r="L109" s="7" t="str">
        <f ca="1">IF(J109="","",SUM($J$2:J109))</f>
        <v/>
      </c>
    </row>
    <row r="110" spans="1:12" s="7" customFormat="1" x14ac:dyDescent="0.25">
      <c r="A110"/>
      <c r="B110"/>
      <c r="C110" s="7" t="str">
        <f t="shared" ca="1" si="4"/>
        <v/>
      </c>
      <c r="D110" s="7" t="str">
        <f ca="1">IF(E110="","",INT(SUM($E$2:E110)))</f>
        <v/>
      </c>
      <c r="E110" t="str">
        <f ca="1">IF(SUM($E$2:E109)&lt;$B$6,invexp($B$4),"")</f>
        <v/>
      </c>
      <c r="F110"/>
      <c r="G110" t="str">
        <f ca="1">IF(E110="","",invexp($B$5))</f>
        <v/>
      </c>
      <c r="H110" t="str">
        <f ca="1">IF(H109="","",IF(H109&lt;0,"",IF(E110="","",$B$1+D110*$B$7-SUM($G$2:G110))))</f>
        <v/>
      </c>
      <c r="I110" s="7">
        <f t="shared" ca="1" si="5"/>
        <v>0</v>
      </c>
      <c r="J110" s="7" t="str">
        <f t="shared" ca="1" si="6"/>
        <v/>
      </c>
      <c r="K110" s="7" t="str">
        <f t="shared" ca="1" si="7"/>
        <v/>
      </c>
      <c r="L110" s="7" t="str">
        <f ca="1">IF(J110="","",SUM($J$2:J110))</f>
        <v/>
      </c>
    </row>
    <row r="111" spans="1:12" s="7" customFormat="1" x14ac:dyDescent="0.25">
      <c r="A111"/>
      <c r="B111"/>
      <c r="C111" s="7" t="str">
        <f t="shared" ca="1" si="4"/>
        <v/>
      </c>
      <c r="D111" s="7" t="str">
        <f ca="1">IF(E111="","",INT(SUM($E$2:E111)))</f>
        <v/>
      </c>
      <c r="E111" t="str">
        <f ca="1">IF(SUM($E$2:E110)&lt;$B$6,invexp($B$4),"")</f>
        <v/>
      </c>
      <c r="F111"/>
      <c r="G111" t="str">
        <f ca="1">IF(E111="","",invexp($B$5))</f>
        <v/>
      </c>
      <c r="H111" t="str">
        <f ca="1">IF(H110="","",IF(H110&lt;0,"",IF(E111="","",$B$1+D111*$B$7-SUM($G$2:G111))))</f>
        <v/>
      </c>
      <c r="I111" s="7">
        <f t="shared" ca="1" si="5"/>
        <v>0</v>
      </c>
      <c r="J111" s="7" t="str">
        <f t="shared" ca="1" si="6"/>
        <v/>
      </c>
      <c r="K111" s="7" t="str">
        <f t="shared" ca="1" si="7"/>
        <v/>
      </c>
      <c r="L111" s="7" t="str">
        <f ca="1">IF(J111="","",SUM($J$2:J111))</f>
        <v/>
      </c>
    </row>
    <row r="112" spans="1:12" s="7" customFormat="1" x14ac:dyDescent="0.25">
      <c r="A112"/>
      <c r="B112"/>
      <c r="C112" s="7" t="str">
        <f t="shared" ca="1" si="4"/>
        <v/>
      </c>
      <c r="D112" s="7" t="str">
        <f ca="1">IF(E112="","",INT(SUM($E$2:E112)))</f>
        <v/>
      </c>
      <c r="E112" t="str">
        <f ca="1">IF(SUM($E$2:E111)&lt;$B$6,invexp($B$4),"")</f>
        <v/>
      </c>
      <c r="F112"/>
      <c r="G112" t="str">
        <f ca="1">IF(E112="","",invexp($B$5))</f>
        <v/>
      </c>
      <c r="H112" t="str">
        <f ca="1">IF(H111="","",IF(H111&lt;0,"",IF(E112="","",$B$1+D112*$B$7-SUM($G$2:G112))))</f>
        <v/>
      </c>
      <c r="I112" s="7">
        <f t="shared" ca="1" si="5"/>
        <v>0</v>
      </c>
      <c r="J112" s="7" t="str">
        <f t="shared" ca="1" si="6"/>
        <v/>
      </c>
      <c r="K112" s="7" t="str">
        <f t="shared" ca="1" si="7"/>
        <v/>
      </c>
      <c r="L112" s="7" t="str">
        <f ca="1">IF(J112="","",SUM($J$2:J112))</f>
        <v/>
      </c>
    </row>
    <row r="113" spans="1:12" s="7" customFormat="1" x14ac:dyDescent="0.25">
      <c r="A113"/>
      <c r="B113"/>
      <c r="C113" s="7" t="str">
        <f t="shared" ca="1" si="4"/>
        <v/>
      </c>
      <c r="D113" s="7" t="str">
        <f ca="1">IF(E113="","",INT(SUM($E$2:E113)))</f>
        <v/>
      </c>
      <c r="E113" t="str">
        <f ca="1">IF(SUM($E$2:E112)&lt;$B$6,invexp($B$4),"")</f>
        <v/>
      </c>
      <c r="F113"/>
      <c r="G113" t="str">
        <f ca="1">IF(E113="","",invexp($B$5))</f>
        <v/>
      </c>
      <c r="H113" t="str">
        <f ca="1">IF(H112="","",IF(H112&lt;0,"",IF(E113="","",$B$1+D113*$B$7-SUM($G$2:G113))))</f>
        <v/>
      </c>
      <c r="I113" s="7">
        <f t="shared" ca="1" si="5"/>
        <v>0</v>
      </c>
      <c r="J113" s="7" t="str">
        <f t="shared" ca="1" si="6"/>
        <v/>
      </c>
      <c r="K113" s="7" t="str">
        <f t="shared" ca="1" si="7"/>
        <v/>
      </c>
      <c r="L113" s="7" t="str">
        <f ca="1">IF(J113="","",SUM($J$2:J113))</f>
        <v/>
      </c>
    </row>
    <row r="114" spans="1:12" s="7" customFormat="1" x14ac:dyDescent="0.25">
      <c r="A114"/>
      <c r="B114"/>
      <c r="C114" s="7" t="str">
        <f t="shared" ca="1" si="4"/>
        <v/>
      </c>
      <c r="D114" s="7" t="str">
        <f ca="1">IF(E114="","",INT(SUM($E$2:E114)))</f>
        <v/>
      </c>
      <c r="E114" t="str">
        <f ca="1">IF(SUM($E$2:E113)&lt;$B$6,invexp($B$4),"")</f>
        <v/>
      </c>
      <c r="F114"/>
      <c r="G114" t="str">
        <f ca="1">IF(E114="","",invexp($B$5))</f>
        <v/>
      </c>
      <c r="H114" t="str">
        <f ca="1">IF(H113="","",IF(H113&lt;0,"",IF(E114="","",$B$1+D114*$B$7-SUM($G$2:G114))))</f>
        <v/>
      </c>
      <c r="I114" s="7">
        <f t="shared" ca="1" si="5"/>
        <v>0</v>
      </c>
      <c r="J114" s="7" t="str">
        <f t="shared" ca="1" si="6"/>
        <v/>
      </c>
      <c r="K114" s="7" t="str">
        <f t="shared" ca="1" si="7"/>
        <v/>
      </c>
      <c r="L114" s="7" t="str">
        <f ca="1">IF(J114="","",SUM($J$2:J114))</f>
        <v/>
      </c>
    </row>
    <row r="115" spans="1:12" s="7" customFormat="1" x14ac:dyDescent="0.25">
      <c r="A115"/>
      <c r="B115"/>
      <c r="C115" s="7" t="str">
        <f t="shared" ca="1" si="4"/>
        <v/>
      </c>
      <c r="D115" s="7" t="str">
        <f ca="1">IF(E115="","",INT(SUM($E$2:E115)))</f>
        <v/>
      </c>
      <c r="E115" t="str">
        <f ca="1">IF(SUM($E$2:E114)&lt;$B$6,invexp($B$4),"")</f>
        <v/>
      </c>
      <c r="F115"/>
      <c r="G115" t="str">
        <f ca="1">IF(E115="","",invexp($B$5))</f>
        <v/>
      </c>
      <c r="H115" t="str">
        <f ca="1">IF(H114="","",IF(H114&lt;0,"",IF(E115="","",$B$1+D115*$B$7-SUM($G$2:G115))))</f>
        <v/>
      </c>
      <c r="I115" s="7">
        <f t="shared" ca="1" si="5"/>
        <v>0</v>
      </c>
      <c r="J115" s="7" t="str">
        <f t="shared" ca="1" si="6"/>
        <v/>
      </c>
      <c r="K115" s="7" t="str">
        <f t="shared" ca="1" si="7"/>
        <v/>
      </c>
      <c r="L115" s="7" t="str">
        <f ca="1">IF(J115="","",SUM($J$2:J115))</f>
        <v/>
      </c>
    </row>
    <row r="116" spans="1:12" s="7" customFormat="1" x14ac:dyDescent="0.25">
      <c r="A116"/>
      <c r="B116"/>
      <c r="C116" s="7" t="str">
        <f t="shared" ca="1" si="4"/>
        <v/>
      </c>
      <c r="D116" s="7" t="str">
        <f ca="1">IF(E116="","",INT(SUM($E$2:E116)))</f>
        <v/>
      </c>
      <c r="E116" t="str">
        <f ca="1">IF(SUM($E$2:E115)&lt;$B$6,invexp($B$4),"")</f>
        <v/>
      </c>
      <c r="F116"/>
      <c r="G116" t="str">
        <f ca="1">IF(E116="","",invexp($B$5))</f>
        <v/>
      </c>
      <c r="H116" t="str">
        <f ca="1">IF(H115="","",IF(H115&lt;0,"",IF(E116="","",$B$1+D116*$B$7-SUM($G$2:G116))))</f>
        <v/>
      </c>
      <c r="I116" s="7">
        <f t="shared" ca="1" si="5"/>
        <v>0</v>
      </c>
      <c r="J116" s="7" t="str">
        <f t="shared" ca="1" si="6"/>
        <v/>
      </c>
      <c r="K116" s="7" t="str">
        <f t="shared" ca="1" si="7"/>
        <v/>
      </c>
      <c r="L116" s="7" t="str">
        <f ca="1">IF(J116="","",SUM($J$2:J116))</f>
        <v/>
      </c>
    </row>
    <row r="117" spans="1:12" s="7" customFormat="1" x14ac:dyDescent="0.25">
      <c r="A117"/>
      <c r="B117"/>
      <c r="C117" s="7" t="str">
        <f t="shared" ca="1" si="4"/>
        <v/>
      </c>
      <c r="D117" s="7" t="str">
        <f ca="1">IF(E117="","",INT(SUM($E$2:E117)))</f>
        <v/>
      </c>
      <c r="E117" t="str">
        <f ca="1">IF(SUM($E$2:E116)&lt;$B$6,invexp($B$4),"")</f>
        <v/>
      </c>
      <c r="F117"/>
      <c r="G117" t="str">
        <f ca="1">IF(E117="","",invexp($B$5))</f>
        <v/>
      </c>
      <c r="H117" t="str">
        <f ca="1">IF(H116="","",IF(H116&lt;0,"",IF(E117="","",$B$1+D117*$B$7-SUM($G$2:G117))))</f>
        <v/>
      </c>
      <c r="I117" s="7">
        <f t="shared" ca="1" si="5"/>
        <v>0</v>
      </c>
      <c r="J117" s="7" t="str">
        <f t="shared" ca="1" si="6"/>
        <v/>
      </c>
      <c r="K117" s="7" t="str">
        <f t="shared" ca="1" si="7"/>
        <v/>
      </c>
      <c r="L117" s="7" t="str">
        <f ca="1">IF(J117="","",SUM($J$2:J117))</f>
        <v/>
      </c>
    </row>
    <row r="118" spans="1:12" s="7" customFormat="1" x14ac:dyDescent="0.25">
      <c r="A118"/>
      <c r="B118"/>
      <c r="C118" s="7" t="str">
        <f t="shared" ca="1" si="4"/>
        <v/>
      </c>
      <c r="D118" s="7" t="str">
        <f ca="1">IF(E118="","",INT(SUM($E$2:E118)))</f>
        <v/>
      </c>
      <c r="E118" t="str">
        <f ca="1">IF(SUM($E$2:E117)&lt;$B$6,invexp($B$4),"")</f>
        <v/>
      </c>
      <c r="F118"/>
      <c r="G118" t="str">
        <f ca="1">IF(E118="","",invexp($B$5))</f>
        <v/>
      </c>
      <c r="H118" t="str">
        <f ca="1">IF(H117="","",IF(H117&lt;0,"",IF(E118="","",$B$1+D118*$B$7-SUM($G$2:G118))))</f>
        <v/>
      </c>
      <c r="I118" s="7">
        <f t="shared" ca="1" si="5"/>
        <v>0</v>
      </c>
      <c r="J118" s="7" t="str">
        <f t="shared" ca="1" si="6"/>
        <v/>
      </c>
      <c r="K118" s="7" t="str">
        <f t="shared" ca="1" si="7"/>
        <v/>
      </c>
      <c r="L118" s="7" t="str">
        <f ca="1">IF(J118="","",SUM($J$2:J118))</f>
        <v/>
      </c>
    </row>
    <row r="119" spans="1:12" s="7" customFormat="1" x14ac:dyDescent="0.25">
      <c r="A119"/>
      <c r="B119"/>
      <c r="C119" s="7" t="str">
        <f t="shared" ca="1" si="4"/>
        <v/>
      </c>
      <c r="D119" s="7" t="str">
        <f ca="1">IF(E119="","",INT(SUM($E$2:E119)))</f>
        <v/>
      </c>
      <c r="E119" t="str">
        <f ca="1">IF(SUM($E$2:E118)&lt;$B$6,invexp($B$4),"")</f>
        <v/>
      </c>
      <c r="F119"/>
      <c r="G119" t="str">
        <f ca="1">IF(E119="","",invexp($B$5))</f>
        <v/>
      </c>
      <c r="H119" t="str">
        <f ca="1">IF(H118="","",IF(H118&lt;0,"",IF(E119="","",$B$1+D119*$B$7-SUM($G$2:G119))))</f>
        <v/>
      </c>
      <c r="I119" s="7">
        <f t="shared" ca="1" si="5"/>
        <v>0</v>
      </c>
      <c r="J119" s="7" t="str">
        <f t="shared" ca="1" si="6"/>
        <v/>
      </c>
      <c r="K119" s="7" t="str">
        <f t="shared" ca="1" si="7"/>
        <v/>
      </c>
      <c r="L119" s="7" t="str">
        <f ca="1">IF(J119="","",SUM($J$2:J119))</f>
        <v/>
      </c>
    </row>
    <row r="120" spans="1:12" s="7" customFormat="1" x14ac:dyDescent="0.25">
      <c r="A120"/>
      <c r="B120"/>
      <c r="C120" s="7" t="str">
        <f t="shared" ca="1" si="4"/>
        <v/>
      </c>
      <c r="D120" s="7" t="str">
        <f ca="1">IF(E120="","",INT(SUM($E$2:E120)))</f>
        <v/>
      </c>
      <c r="E120" t="str">
        <f ca="1">IF(SUM($E$2:E119)&lt;$B$6,invexp($B$4),"")</f>
        <v/>
      </c>
      <c r="F120"/>
      <c r="G120" t="str">
        <f ca="1">IF(E120="","",invexp($B$5))</f>
        <v/>
      </c>
      <c r="H120" t="str">
        <f ca="1">IF(H119="","",IF(H119&lt;0,"",IF(E120="","",$B$1+D120*$B$7-SUM($G$2:G120))))</f>
        <v/>
      </c>
      <c r="I120" s="7">
        <f t="shared" ca="1" si="5"/>
        <v>0</v>
      </c>
      <c r="J120" s="7" t="str">
        <f t="shared" ca="1" si="6"/>
        <v/>
      </c>
      <c r="K120" s="7" t="str">
        <f t="shared" ca="1" si="7"/>
        <v/>
      </c>
      <c r="L120" s="7" t="str">
        <f ca="1">IF(J120="","",SUM($J$2:J120))</f>
        <v/>
      </c>
    </row>
    <row r="121" spans="1:12" s="7" customFormat="1" x14ac:dyDescent="0.25">
      <c r="A121"/>
      <c r="B121"/>
      <c r="C121" s="7" t="str">
        <f t="shared" ca="1" si="4"/>
        <v/>
      </c>
      <c r="D121" s="7" t="str">
        <f ca="1">IF(E121="","",INT(SUM($E$2:E121)))</f>
        <v/>
      </c>
      <c r="E121" t="str">
        <f ca="1">IF(SUM($E$2:E120)&lt;$B$6,invexp($B$4),"")</f>
        <v/>
      </c>
      <c r="F121"/>
      <c r="G121" t="str">
        <f ca="1">IF(E121="","",invexp($B$5))</f>
        <v/>
      </c>
      <c r="H121" t="str">
        <f ca="1">IF(H120="","",IF(H120&lt;0,"",IF(E121="","",$B$1+D121*$B$7-SUM($G$2:G121))))</f>
        <v/>
      </c>
      <c r="I121" s="7">
        <f t="shared" ca="1" si="5"/>
        <v>0</v>
      </c>
      <c r="J121" s="7" t="str">
        <f t="shared" ca="1" si="6"/>
        <v/>
      </c>
      <c r="K121" s="7" t="str">
        <f t="shared" ca="1" si="7"/>
        <v/>
      </c>
      <c r="L121" s="7" t="str">
        <f ca="1">IF(J121="","",SUM($J$2:J121))</f>
        <v/>
      </c>
    </row>
    <row r="122" spans="1:12" s="7" customFormat="1" x14ac:dyDescent="0.25">
      <c r="A122"/>
      <c r="B122"/>
      <c r="C122" s="7" t="str">
        <f t="shared" ca="1" si="4"/>
        <v/>
      </c>
      <c r="D122" s="7" t="str">
        <f ca="1">IF(E122="","",INT(SUM($E$2:E122)))</f>
        <v/>
      </c>
      <c r="E122" t="str">
        <f ca="1">IF(SUM($E$2:E121)&lt;$B$6,invexp($B$4),"")</f>
        <v/>
      </c>
      <c r="F122"/>
      <c r="G122" t="str">
        <f ca="1">IF(E122="","",invexp($B$5))</f>
        <v/>
      </c>
      <c r="H122" t="str">
        <f ca="1">IF(H121="","",IF(H121&lt;0,"",IF(E122="","",$B$1+D122*$B$7-SUM($G$2:G122))))</f>
        <v/>
      </c>
      <c r="I122" s="7">
        <f t="shared" ca="1" si="5"/>
        <v>0</v>
      </c>
      <c r="J122" s="7" t="str">
        <f t="shared" ca="1" si="6"/>
        <v/>
      </c>
      <c r="K122" s="7" t="str">
        <f t="shared" ca="1" si="7"/>
        <v/>
      </c>
      <c r="L122" s="7" t="str">
        <f ca="1">IF(J122="","",SUM($J$2:J122))</f>
        <v/>
      </c>
    </row>
    <row r="123" spans="1:12" s="7" customFormat="1" x14ac:dyDescent="0.25">
      <c r="A123"/>
      <c r="B123"/>
      <c r="C123" s="7" t="str">
        <f t="shared" ca="1" si="4"/>
        <v/>
      </c>
      <c r="D123" s="7" t="str">
        <f ca="1">IF(E123="","",INT(SUM($E$2:E123)))</f>
        <v/>
      </c>
      <c r="E123" t="str">
        <f ca="1">IF(SUM($E$2:E122)&lt;$B$6,invexp($B$4),"")</f>
        <v/>
      </c>
      <c r="F123"/>
      <c r="G123" t="str">
        <f ca="1">IF(E123="","",invexp($B$5))</f>
        <v/>
      </c>
      <c r="H123" t="str">
        <f ca="1">IF(H122="","",IF(H122&lt;0,"",IF(E123="","",$B$1+D123*$B$7-SUM($G$2:G123))))</f>
        <v/>
      </c>
      <c r="I123" s="7">
        <f t="shared" ca="1" si="5"/>
        <v>0</v>
      </c>
      <c r="J123" s="7" t="str">
        <f t="shared" ca="1" si="6"/>
        <v/>
      </c>
      <c r="K123" s="7" t="str">
        <f t="shared" ca="1" si="7"/>
        <v/>
      </c>
      <c r="L123" s="7" t="str">
        <f ca="1">IF(J123="","",SUM($J$2:J123))</f>
        <v/>
      </c>
    </row>
    <row r="124" spans="1:12" s="7" customFormat="1" x14ac:dyDescent="0.25">
      <c r="A124"/>
      <c r="B124"/>
      <c r="C124" s="7" t="str">
        <f t="shared" ca="1" si="4"/>
        <v/>
      </c>
      <c r="D124" s="7" t="str">
        <f ca="1">IF(E124="","",INT(SUM($E$2:E124)))</f>
        <v/>
      </c>
      <c r="E124" t="str">
        <f ca="1">IF(SUM($E$2:E123)&lt;$B$6,invexp($B$4),"")</f>
        <v/>
      </c>
      <c r="F124"/>
      <c r="G124" t="str">
        <f ca="1">IF(E124="","",invexp($B$5))</f>
        <v/>
      </c>
      <c r="H124" t="str">
        <f ca="1">IF(H123="","",IF(H123&lt;0,"",IF(E124="","",$B$1+D124*$B$7-SUM($G$2:G124))))</f>
        <v/>
      </c>
      <c r="I124" s="7">
        <f t="shared" ca="1" si="5"/>
        <v>0</v>
      </c>
      <c r="J124" s="7" t="str">
        <f t="shared" ca="1" si="6"/>
        <v/>
      </c>
      <c r="K124" s="7" t="str">
        <f t="shared" ca="1" si="7"/>
        <v/>
      </c>
      <c r="L124" s="7" t="str">
        <f ca="1">IF(J124="","",SUM($J$2:J124))</f>
        <v/>
      </c>
    </row>
    <row r="125" spans="1:12" s="7" customFormat="1" x14ac:dyDescent="0.25">
      <c r="A125"/>
      <c r="B125"/>
      <c r="C125" s="7" t="str">
        <f t="shared" ca="1" si="4"/>
        <v/>
      </c>
      <c r="D125" s="7" t="str">
        <f ca="1">IF(E125="","",INT(SUM($E$2:E125)))</f>
        <v/>
      </c>
      <c r="E125" t="str">
        <f ca="1">IF(SUM($E$2:E124)&lt;$B$6,invexp($B$4),"")</f>
        <v/>
      </c>
      <c r="F125"/>
      <c r="G125" t="str">
        <f ca="1">IF(E125="","",invexp($B$5))</f>
        <v/>
      </c>
      <c r="H125" t="str">
        <f ca="1">IF(H124="","",IF(H124&lt;0,"",IF(E125="","",$B$1+D125*$B$7-SUM($G$2:G125))))</f>
        <v/>
      </c>
      <c r="I125" s="7">
        <f t="shared" ca="1" si="5"/>
        <v>0</v>
      </c>
      <c r="J125" s="7" t="str">
        <f t="shared" ca="1" si="6"/>
        <v/>
      </c>
      <c r="K125" s="7" t="str">
        <f t="shared" ca="1" si="7"/>
        <v/>
      </c>
      <c r="L125" s="7" t="str">
        <f ca="1">IF(J125="","",SUM($J$2:J125))</f>
        <v/>
      </c>
    </row>
    <row r="126" spans="1:12" s="7" customFormat="1" x14ac:dyDescent="0.25">
      <c r="A126"/>
      <c r="B126"/>
      <c r="C126" s="7" t="str">
        <f t="shared" ca="1" si="4"/>
        <v/>
      </c>
      <c r="D126" s="7" t="str">
        <f ca="1">IF(E126="","",INT(SUM($E$2:E126)))</f>
        <v/>
      </c>
      <c r="E126" t="str">
        <f ca="1">IF(SUM($E$2:E125)&lt;$B$6,invexp($B$4),"")</f>
        <v/>
      </c>
      <c r="F126"/>
      <c r="G126" t="str">
        <f ca="1">IF(E126="","",invexp($B$5))</f>
        <v/>
      </c>
      <c r="H126" t="str">
        <f ca="1">IF(H125="","",IF(H125&lt;0,"",IF(E126="","",$B$1+D126*$B$7-SUM($G$2:G126))))</f>
        <v/>
      </c>
      <c r="I126" s="7">
        <f t="shared" ca="1" si="5"/>
        <v>0</v>
      </c>
      <c r="J126" s="7" t="str">
        <f t="shared" ca="1" si="6"/>
        <v/>
      </c>
      <c r="K126" s="7" t="str">
        <f t="shared" ca="1" si="7"/>
        <v/>
      </c>
      <c r="L126" s="7" t="str">
        <f ca="1">IF(J126="","",SUM($J$2:J126))</f>
        <v/>
      </c>
    </row>
    <row r="127" spans="1:12" s="7" customFormat="1" x14ac:dyDescent="0.25">
      <c r="A127"/>
      <c r="B127"/>
      <c r="C127" s="7" t="str">
        <f t="shared" ca="1" si="4"/>
        <v/>
      </c>
      <c r="D127" s="7" t="str">
        <f ca="1">IF(E127="","",INT(SUM($E$2:E127)))</f>
        <v/>
      </c>
      <c r="E127" t="str">
        <f ca="1">IF(SUM($E$2:E126)&lt;$B$6,invexp($B$4),"")</f>
        <v/>
      </c>
      <c r="F127"/>
      <c r="G127" t="str">
        <f ca="1">IF(E127="","",invexp($B$5))</f>
        <v/>
      </c>
      <c r="H127" t="str">
        <f ca="1">IF(H126="","",IF(H126&lt;0,"",IF(E127="","",$B$1+D127*$B$7-SUM($G$2:G127))))</f>
        <v/>
      </c>
      <c r="I127" s="7">
        <f t="shared" ca="1" si="5"/>
        <v>0</v>
      </c>
      <c r="J127" s="7" t="str">
        <f t="shared" ca="1" si="6"/>
        <v/>
      </c>
      <c r="K127" s="7" t="str">
        <f t="shared" ca="1" si="7"/>
        <v/>
      </c>
      <c r="L127" s="7" t="str">
        <f ca="1">IF(J127="","",SUM($J$2:J127))</f>
        <v/>
      </c>
    </row>
    <row r="128" spans="1:12" s="7" customFormat="1" x14ac:dyDescent="0.25">
      <c r="A128"/>
      <c r="B128"/>
      <c r="C128" s="7" t="str">
        <f t="shared" ca="1" si="4"/>
        <v/>
      </c>
      <c r="D128" s="7" t="str">
        <f ca="1">IF(E128="","",INT(SUM($E$2:E128)))</f>
        <v/>
      </c>
      <c r="E128" t="str">
        <f ca="1">IF(SUM($E$2:E127)&lt;$B$6,invexp($B$4),"")</f>
        <v/>
      </c>
      <c r="F128"/>
      <c r="G128" t="str">
        <f ca="1">IF(E128="","",invexp($B$5))</f>
        <v/>
      </c>
      <c r="H128" t="str">
        <f ca="1">IF(H127="","",IF(H127&lt;0,"",IF(E128="","",$B$1+D128*$B$7-SUM($G$2:G128))))</f>
        <v/>
      </c>
      <c r="I128" s="7">
        <f t="shared" ca="1" si="5"/>
        <v>0</v>
      </c>
      <c r="J128" s="7" t="str">
        <f t="shared" ca="1" si="6"/>
        <v/>
      </c>
      <c r="K128" s="7" t="str">
        <f t="shared" ca="1" si="7"/>
        <v/>
      </c>
      <c r="L128" s="7" t="str">
        <f ca="1">IF(J128="","",SUM($J$2:J128))</f>
        <v/>
      </c>
    </row>
    <row r="129" spans="1:12" s="7" customFormat="1" x14ac:dyDescent="0.25">
      <c r="A129"/>
      <c r="B129"/>
      <c r="C129" s="7" t="str">
        <f t="shared" ca="1" si="4"/>
        <v/>
      </c>
      <c r="D129" s="7" t="str">
        <f ca="1">IF(E129="","",INT(SUM($E$2:E129)))</f>
        <v/>
      </c>
      <c r="E129" t="str">
        <f ca="1">IF(SUM($E$2:E128)&lt;$B$6,invexp($B$4),"")</f>
        <v/>
      </c>
      <c r="F129"/>
      <c r="G129" t="str">
        <f ca="1">IF(E129="","",invexp($B$5))</f>
        <v/>
      </c>
      <c r="H129" t="str">
        <f ca="1">IF(H128="","",IF(H128&lt;0,"",IF(E129="","",$B$1+D129*$B$7-SUM($G$2:G129))))</f>
        <v/>
      </c>
      <c r="I129" s="7">
        <f t="shared" ca="1" si="5"/>
        <v>0</v>
      </c>
      <c r="J129" s="7" t="str">
        <f t="shared" ca="1" si="6"/>
        <v/>
      </c>
      <c r="K129" s="7" t="str">
        <f t="shared" ca="1" si="7"/>
        <v/>
      </c>
      <c r="L129" s="7" t="str">
        <f ca="1">IF(J129="","",SUM($J$2:J129))</f>
        <v/>
      </c>
    </row>
    <row r="130" spans="1:12" s="7" customFormat="1" x14ac:dyDescent="0.25">
      <c r="A130"/>
      <c r="B130"/>
      <c r="C130" s="7" t="str">
        <f t="shared" ca="1" si="4"/>
        <v/>
      </c>
      <c r="D130" s="7" t="str">
        <f ca="1">IF(E130="","",INT(SUM($E$2:E130)))</f>
        <v/>
      </c>
      <c r="E130" t="str">
        <f ca="1">IF(SUM($E$2:E129)&lt;$B$6,invexp($B$4),"")</f>
        <v/>
      </c>
      <c r="F130"/>
      <c r="G130" t="str">
        <f ca="1">IF(E130="","",invexp($B$5))</f>
        <v/>
      </c>
      <c r="H130" t="str">
        <f ca="1">IF(H129="","",IF(H129&lt;0,"",IF(E130="","",$B$1+D130*$B$7-SUM($G$2:G130))))</f>
        <v/>
      </c>
      <c r="I130" s="7">
        <f t="shared" ca="1" si="5"/>
        <v>0</v>
      </c>
      <c r="J130" s="7" t="str">
        <f t="shared" ca="1" si="6"/>
        <v/>
      </c>
      <c r="K130" s="7" t="str">
        <f t="shared" ca="1" si="7"/>
        <v/>
      </c>
      <c r="L130" s="7" t="str">
        <f ca="1">IF(J130="","",SUM($J$2:J130))</f>
        <v/>
      </c>
    </row>
    <row r="131" spans="1:12" s="7" customFormat="1" x14ac:dyDescent="0.25">
      <c r="A131"/>
      <c r="B131"/>
      <c r="C131" s="7" t="str">
        <f t="shared" ref="C131:C194" ca="1" si="8">L131</f>
        <v/>
      </c>
      <c r="D131" s="7" t="str">
        <f ca="1">IF(E131="","",INT(SUM($E$2:E131)))</f>
        <v/>
      </c>
      <c r="E131" t="str">
        <f ca="1">IF(SUM($E$2:E130)&lt;$B$6,invexp($B$4),"")</f>
        <v/>
      </c>
      <c r="F131"/>
      <c r="G131" t="str">
        <f ca="1">IF(E131="","",invexp($B$5))</f>
        <v/>
      </c>
      <c r="H131" t="str">
        <f ca="1">IF(H130="","",IF(H130&lt;0,"",IF(E131="","",$B$1+D131*$B$7-SUM($G$2:G131))))</f>
        <v/>
      </c>
      <c r="I131" s="7">
        <f t="shared" ref="I131:I194" ca="1" si="9">IF(H131&lt;-$B$2,1,0)</f>
        <v>0</v>
      </c>
      <c r="J131" s="7" t="str">
        <f t="shared" ref="J131:J194" ca="1" si="10">IF(H131="","",E131)</f>
        <v/>
      </c>
      <c r="K131" s="7" t="str">
        <f t="shared" ref="K131:K194" ca="1" si="11">IF(H131="","",G131)</f>
        <v/>
      </c>
      <c r="L131" s="7" t="str">
        <f ca="1">IF(J131="","",SUM($J$2:J131))</f>
        <v/>
      </c>
    </row>
    <row r="132" spans="1:12" s="7" customFormat="1" x14ac:dyDescent="0.25">
      <c r="A132"/>
      <c r="B132"/>
      <c r="C132" s="7" t="str">
        <f t="shared" ca="1" si="8"/>
        <v/>
      </c>
      <c r="D132" s="7" t="str">
        <f ca="1">IF(E132="","",INT(SUM($E$2:E132)))</f>
        <v/>
      </c>
      <c r="E132" t="str">
        <f ca="1">IF(SUM($E$2:E131)&lt;$B$6,invexp($B$4),"")</f>
        <v/>
      </c>
      <c r="F132"/>
      <c r="G132" t="str">
        <f ca="1">IF(E132="","",invexp($B$5))</f>
        <v/>
      </c>
      <c r="H132" t="str">
        <f ca="1">IF(H131="","",IF(H131&lt;0,"",IF(E132="","",$B$1+D132*$B$7-SUM($G$2:G132))))</f>
        <v/>
      </c>
      <c r="I132" s="7">
        <f t="shared" ca="1" si="9"/>
        <v>0</v>
      </c>
      <c r="J132" s="7" t="str">
        <f t="shared" ca="1" si="10"/>
        <v/>
      </c>
      <c r="K132" s="7" t="str">
        <f t="shared" ca="1" si="11"/>
        <v/>
      </c>
      <c r="L132" s="7" t="str">
        <f ca="1">IF(J132="","",SUM($J$2:J132))</f>
        <v/>
      </c>
    </row>
    <row r="133" spans="1:12" s="7" customFormat="1" x14ac:dyDescent="0.25">
      <c r="A133"/>
      <c r="B133"/>
      <c r="C133" s="7" t="str">
        <f t="shared" ca="1" si="8"/>
        <v/>
      </c>
      <c r="D133" s="7" t="str">
        <f ca="1">IF(E133="","",INT(SUM($E$2:E133)))</f>
        <v/>
      </c>
      <c r="E133" t="str">
        <f ca="1">IF(SUM($E$2:E132)&lt;$B$6,invexp($B$4),"")</f>
        <v/>
      </c>
      <c r="F133"/>
      <c r="G133" t="str">
        <f ca="1">IF(E133="","",invexp($B$5))</f>
        <v/>
      </c>
      <c r="H133" t="str">
        <f ca="1">IF(H132="","",IF(H132&lt;0,"",IF(E133="","",$B$1+D133*$B$7-SUM($G$2:G133))))</f>
        <v/>
      </c>
      <c r="I133" s="7">
        <f t="shared" ca="1" si="9"/>
        <v>0</v>
      </c>
      <c r="J133" s="7" t="str">
        <f t="shared" ca="1" si="10"/>
        <v/>
      </c>
      <c r="K133" s="7" t="str">
        <f t="shared" ca="1" si="11"/>
        <v/>
      </c>
      <c r="L133" s="7" t="str">
        <f ca="1">IF(J133="","",SUM($J$2:J133))</f>
        <v/>
      </c>
    </row>
    <row r="134" spans="1:12" s="7" customFormat="1" x14ac:dyDescent="0.25">
      <c r="A134"/>
      <c r="B134"/>
      <c r="C134" s="7" t="str">
        <f t="shared" ca="1" si="8"/>
        <v/>
      </c>
      <c r="D134" s="7" t="str">
        <f ca="1">IF(E134="","",INT(SUM($E$2:E134)))</f>
        <v/>
      </c>
      <c r="E134" t="str">
        <f ca="1">IF(SUM($E$2:E133)&lt;$B$6,invexp($B$4),"")</f>
        <v/>
      </c>
      <c r="F134"/>
      <c r="G134" t="str">
        <f ca="1">IF(E134="","",invexp($B$5))</f>
        <v/>
      </c>
      <c r="H134" t="str">
        <f ca="1">IF(H133="","",IF(H133&lt;0,"",IF(E134="","",$B$1+D134*$B$7-SUM($G$2:G134))))</f>
        <v/>
      </c>
      <c r="I134" s="7">
        <f t="shared" ca="1" si="9"/>
        <v>0</v>
      </c>
      <c r="J134" s="7" t="str">
        <f t="shared" ca="1" si="10"/>
        <v/>
      </c>
      <c r="K134" s="7" t="str">
        <f t="shared" ca="1" si="11"/>
        <v/>
      </c>
      <c r="L134" s="7" t="str">
        <f ca="1">IF(J134="","",SUM($J$2:J134))</f>
        <v/>
      </c>
    </row>
    <row r="135" spans="1:12" s="7" customFormat="1" x14ac:dyDescent="0.25">
      <c r="A135"/>
      <c r="B135"/>
      <c r="C135" s="7" t="str">
        <f t="shared" ca="1" si="8"/>
        <v/>
      </c>
      <c r="D135" s="7" t="str">
        <f ca="1">IF(E135="","",INT(SUM($E$2:E135)))</f>
        <v/>
      </c>
      <c r="E135" t="str">
        <f ca="1">IF(SUM($E$2:E134)&lt;$B$6,invexp($B$4),"")</f>
        <v/>
      </c>
      <c r="F135"/>
      <c r="G135" t="str">
        <f ca="1">IF(E135="","",invexp($B$5))</f>
        <v/>
      </c>
      <c r="H135" t="str">
        <f ca="1">IF(H134="","",IF(H134&lt;0,"",IF(E135="","",$B$1+D135*$B$7-SUM($G$2:G135))))</f>
        <v/>
      </c>
      <c r="I135" s="7">
        <f t="shared" ca="1" si="9"/>
        <v>0</v>
      </c>
      <c r="J135" s="7" t="str">
        <f t="shared" ca="1" si="10"/>
        <v/>
      </c>
      <c r="K135" s="7" t="str">
        <f t="shared" ca="1" si="11"/>
        <v/>
      </c>
      <c r="L135" s="7" t="str">
        <f ca="1">IF(J135="","",SUM($J$2:J135))</f>
        <v/>
      </c>
    </row>
    <row r="136" spans="1:12" s="7" customFormat="1" x14ac:dyDescent="0.25">
      <c r="A136"/>
      <c r="B136"/>
      <c r="C136" s="7" t="str">
        <f t="shared" ca="1" si="8"/>
        <v/>
      </c>
      <c r="D136" s="7" t="str">
        <f ca="1">IF(E136="","",INT(SUM($E$2:E136)))</f>
        <v/>
      </c>
      <c r="E136" t="str">
        <f ca="1">IF(SUM($E$2:E135)&lt;$B$6,invexp($B$4),"")</f>
        <v/>
      </c>
      <c r="F136"/>
      <c r="G136" t="str">
        <f ca="1">IF(E136="","",invexp($B$5))</f>
        <v/>
      </c>
      <c r="H136" t="str">
        <f ca="1">IF(H135="","",IF(H135&lt;0,"",IF(E136="","",$B$1+D136*$B$7-SUM($G$2:G136))))</f>
        <v/>
      </c>
      <c r="I136" s="7">
        <f t="shared" ca="1" si="9"/>
        <v>0</v>
      </c>
      <c r="J136" s="7" t="str">
        <f t="shared" ca="1" si="10"/>
        <v/>
      </c>
      <c r="K136" s="7" t="str">
        <f t="shared" ca="1" si="11"/>
        <v/>
      </c>
      <c r="L136" s="7" t="str">
        <f ca="1">IF(J136="","",SUM($J$2:J136))</f>
        <v/>
      </c>
    </row>
    <row r="137" spans="1:12" s="7" customFormat="1" x14ac:dyDescent="0.25">
      <c r="A137"/>
      <c r="B137"/>
      <c r="C137" s="7" t="str">
        <f t="shared" ca="1" si="8"/>
        <v/>
      </c>
      <c r="D137" s="7" t="str">
        <f ca="1">IF(E137="","",INT(SUM($E$2:E137)))</f>
        <v/>
      </c>
      <c r="E137" t="str">
        <f ca="1">IF(SUM($E$2:E136)&lt;$B$6,invexp($B$4),"")</f>
        <v/>
      </c>
      <c r="F137"/>
      <c r="G137" t="str">
        <f ca="1">IF(E137="","",invexp($B$5))</f>
        <v/>
      </c>
      <c r="H137" t="str">
        <f ca="1">IF(H136="","",IF(H136&lt;0,"",IF(E137="","",$B$1+D137*$B$7-SUM($G$2:G137))))</f>
        <v/>
      </c>
      <c r="I137" s="7">
        <f t="shared" ca="1" si="9"/>
        <v>0</v>
      </c>
      <c r="J137" s="7" t="str">
        <f t="shared" ca="1" si="10"/>
        <v/>
      </c>
      <c r="K137" s="7" t="str">
        <f t="shared" ca="1" si="11"/>
        <v/>
      </c>
      <c r="L137" s="7" t="str">
        <f ca="1">IF(J137="","",SUM($J$2:J137))</f>
        <v/>
      </c>
    </row>
    <row r="138" spans="1:12" s="7" customFormat="1" x14ac:dyDescent="0.25">
      <c r="A138"/>
      <c r="B138"/>
      <c r="C138" s="7" t="str">
        <f t="shared" ca="1" si="8"/>
        <v/>
      </c>
      <c r="D138" s="7" t="str">
        <f ca="1">IF(E138="","",INT(SUM($E$2:E138)))</f>
        <v/>
      </c>
      <c r="E138" t="str">
        <f ca="1">IF(SUM($E$2:E137)&lt;$B$6,invexp($B$4),"")</f>
        <v/>
      </c>
      <c r="F138"/>
      <c r="G138" t="str">
        <f ca="1">IF(E138="","",invexp($B$5))</f>
        <v/>
      </c>
      <c r="H138" t="str">
        <f ca="1">IF(H137="","",IF(H137&lt;0,"",IF(E138="","",$B$1+D138*$B$7-SUM($G$2:G138))))</f>
        <v/>
      </c>
      <c r="I138" s="7">
        <f t="shared" ca="1" si="9"/>
        <v>0</v>
      </c>
      <c r="J138" s="7" t="str">
        <f t="shared" ca="1" si="10"/>
        <v/>
      </c>
      <c r="K138" s="7" t="str">
        <f t="shared" ca="1" si="11"/>
        <v/>
      </c>
      <c r="L138" s="7" t="str">
        <f ca="1">IF(J138="","",SUM($J$2:J138))</f>
        <v/>
      </c>
    </row>
    <row r="139" spans="1:12" s="7" customFormat="1" x14ac:dyDescent="0.25">
      <c r="A139"/>
      <c r="B139"/>
      <c r="C139" s="7" t="str">
        <f t="shared" ca="1" si="8"/>
        <v/>
      </c>
      <c r="D139" s="7" t="str">
        <f ca="1">IF(E139="","",INT(SUM($E$2:E139)))</f>
        <v/>
      </c>
      <c r="E139" t="str">
        <f ca="1">IF(SUM($E$2:E138)&lt;$B$6,invexp($B$4),"")</f>
        <v/>
      </c>
      <c r="F139"/>
      <c r="G139" t="str">
        <f ca="1">IF(E139="","",invexp($B$5))</f>
        <v/>
      </c>
      <c r="H139" t="str">
        <f ca="1">IF(H138="","",IF(H138&lt;0,"",IF(E139="","",$B$1+D139*$B$7-SUM($G$2:G139))))</f>
        <v/>
      </c>
      <c r="I139" s="7">
        <f t="shared" ca="1" si="9"/>
        <v>0</v>
      </c>
      <c r="J139" s="7" t="str">
        <f t="shared" ca="1" si="10"/>
        <v/>
      </c>
      <c r="K139" s="7" t="str">
        <f t="shared" ca="1" si="11"/>
        <v/>
      </c>
      <c r="L139" s="7" t="str">
        <f ca="1">IF(J139="","",SUM($J$2:J139))</f>
        <v/>
      </c>
    </row>
    <row r="140" spans="1:12" s="7" customFormat="1" x14ac:dyDescent="0.25">
      <c r="A140"/>
      <c r="B140"/>
      <c r="C140" s="7" t="str">
        <f t="shared" ca="1" si="8"/>
        <v/>
      </c>
      <c r="D140" s="7" t="str">
        <f ca="1">IF(E140="","",INT(SUM($E$2:E140)))</f>
        <v/>
      </c>
      <c r="E140" t="str">
        <f ca="1">IF(SUM($E$2:E139)&lt;$B$6,invexp($B$4),"")</f>
        <v/>
      </c>
      <c r="F140"/>
      <c r="G140" t="str">
        <f ca="1">IF(E140="","",invexp($B$5))</f>
        <v/>
      </c>
      <c r="H140" t="str">
        <f ca="1">IF(H139="","",IF(H139&lt;0,"",IF(E140="","",$B$1+D140*$B$7-SUM($G$2:G140))))</f>
        <v/>
      </c>
      <c r="I140" s="7">
        <f t="shared" ca="1" si="9"/>
        <v>0</v>
      </c>
      <c r="J140" s="7" t="str">
        <f t="shared" ca="1" si="10"/>
        <v/>
      </c>
      <c r="K140" s="7" t="str">
        <f t="shared" ca="1" si="11"/>
        <v/>
      </c>
      <c r="L140" s="7" t="str">
        <f ca="1">IF(J140="","",SUM($J$2:J140))</f>
        <v/>
      </c>
    </row>
    <row r="141" spans="1:12" s="7" customFormat="1" x14ac:dyDescent="0.25">
      <c r="A141"/>
      <c r="B141"/>
      <c r="C141" s="7" t="str">
        <f t="shared" ca="1" si="8"/>
        <v/>
      </c>
      <c r="D141" s="7" t="str">
        <f ca="1">IF(E141="","",INT(SUM($E$2:E141)))</f>
        <v/>
      </c>
      <c r="E141" t="str">
        <f ca="1">IF(SUM($E$2:E140)&lt;$B$6,invexp($B$4),"")</f>
        <v/>
      </c>
      <c r="F141"/>
      <c r="G141" t="str">
        <f ca="1">IF(E141="","",invexp($B$5))</f>
        <v/>
      </c>
      <c r="H141" t="str">
        <f ca="1">IF(H140="","",IF(H140&lt;0,"",IF(E141="","",$B$1+D141*$B$7-SUM($G$2:G141))))</f>
        <v/>
      </c>
      <c r="I141" s="7">
        <f t="shared" ca="1" si="9"/>
        <v>0</v>
      </c>
      <c r="J141" s="7" t="str">
        <f t="shared" ca="1" si="10"/>
        <v/>
      </c>
      <c r="K141" s="7" t="str">
        <f t="shared" ca="1" si="11"/>
        <v/>
      </c>
      <c r="L141" s="7" t="str">
        <f ca="1">IF(J141="","",SUM($J$2:J141))</f>
        <v/>
      </c>
    </row>
    <row r="142" spans="1:12" s="7" customFormat="1" x14ac:dyDescent="0.25">
      <c r="A142"/>
      <c r="B142"/>
      <c r="C142" s="7" t="str">
        <f t="shared" ca="1" si="8"/>
        <v/>
      </c>
      <c r="D142" s="7" t="str">
        <f ca="1">IF(E142="","",INT(SUM($E$2:E142)))</f>
        <v/>
      </c>
      <c r="E142" t="str">
        <f ca="1">IF(SUM($E$2:E141)&lt;$B$6,invexp($B$4),"")</f>
        <v/>
      </c>
      <c r="F142"/>
      <c r="G142" t="str">
        <f ca="1">IF(E142="","",invexp($B$5))</f>
        <v/>
      </c>
      <c r="H142" t="str">
        <f ca="1">IF(H141="","",IF(H141&lt;0,"",IF(E142="","",$B$1+D142*$B$7-SUM($G$2:G142))))</f>
        <v/>
      </c>
      <c r="I142" s="7">
        <f t="shared" ca="1" si="9"/>
        <v>0</v>
      </c>
      <c r="J142" s="7" t="str">
        <f t="shared" ca="1" si="10"/>
        <v/>
      </c>
      <c r="K142" s="7" t="str">
        <f t="shared" ca="1" si="11"/>
        <v/>
      </c>
      <c r="L142" s="7" t="str">
        <f ca="1">IF(J142="","",SUM($J$2:J142))</f>
        <v/>
      </c>
    </row>
    <row r="143" spans="1:12" s="7" customFormat="1" x14ac:dyDescent="0.25">
      <c r="A143"/>
      <c r="B143"/>
      <c r="C143" s="7" t="str">
        <f t="shared" ca="1" si="8"/>
        <v/>
      </c>
      <c r="D143" s="7" t="str">
        <f ca="1">IF(E143="","",INT(SUM($E$2:E143)))</f>
        <v/>
      </c>
      <c r="E143" t="str">
        <f ca="1">IF(SUM($E$2:E142)&lt;$B$6,invexp($B$4),"")</f>
        <v/>
      </c>
      <c r="F143"/>
      <c r="G143" t="str">
        <f ca="1">IF(E143="","",invexp($B$5))</f>
        <v/>
      </c>
      <c r="H143" t="str">
        <f ca="1">IF(H142="","",IF(H142&lt;0,"",IF(E143="","",$B$1+D143*$B$7-SUM($G$2:G143))))</f>
        <v/>
      </c>
      <c r="I143" s="7">
        <f t="shared" ca="1" si="9"/>
        <v>0</v>
      </c>
      <c r="J143" s="7" t="str">
        <f t="shared" ca="1" si="10"/>
        <v/>
      </c>
      <c r="K143" s="7" t="str">
        <f t="shared" ca="1" si="11"/>
        <v/>
      </c>
      <c r="L143" s="7" t="str">
        <f ca="1">IF(J143="","",SUM($J$2:J143))</f>
        <v/>
      </c>
    </row>
    <row r="144" spans="1:12" s="7" customFormat="1" x14ac:dyDescent="0.25">
      <c r="A144"/>
      <c r="B144"/>
      <c r="C144" s="7" t="str">
        <f t="shared" ca="1" si="8"/>
        <v/>
      </c>
      <c r="D144" s="7" t="str">
        <f ca="1">IF(E144="","",INT(SUM($E$2:E144)))</f>
        <v/>
      </c>
      <c r="E144" t="str">
        <f ca="1">IF(SUM($E$2:E143)&lt;$B$6,invexp($B$4),"")</f>
        <v/>
      </c>
      <c r="F144"/>
      <c r="G144" t="str">
        <f ca="1">IF(E144="","",invexp($B$5))</f>
        <v/>
      </c>
      <c r="H144" t="str">
        <f ca="1">IF(H143="","",IF(H143&lt;0,"",IF(E144="","",$B$1+D144*$B$7-SUM($G$2:G144))))</f>
        <v/>
      </c>
      <c r="I144" s="7">
        <f t="shared" ca="1" si="9"/>
        <v>0</v>
      </c>
      <c r="J144" s="7" t="str">
        <f t="shared" ca="1" si="10"/>
        <v/>
      </c>
      <c r="K144" s="7" t="str">
        <f t="shared" ca="1" si="11"/>
        <v/>
      </c>
      <c r="L144" s="7" t="str">
        <f ca="1">IF(J144="","",SUM($J$2:J144))</f>
        <v/>
      </c>
    </row>
    <row r="145" spans="1:12" s="7" customFormat="1" x14ac:dyDescent="0.25">
      <c r="A145"/>
      <c r="B145"/>
      <c r="C145" s="7" t="str">
        <f t="shared" ca="1" si="8"/>
        <v/>
      </c>
      <c r="D145" s="7" t="str">
        <f ca="1">IF(E145="","",INT(SUM($E$2:E145)))</f>
        <v/>
      </c>
      <c r="E145" t="str">
        <f ca="1">IF(SUM($E$2:E144)&lt;$B$6,invexp($B$4),"")</f>
        <v/>
      </c>
      <c r="F145"/>
      <c r="G145" t="str">
        <f ca="1">IF(E145="","",invexp($B$5))</f>
        <v/>
      </c>
      <c r="H145" t="str">
        <f ca="1">IF(H144="","",IF(H144&lt;0,"",IF(E145="","",$B$1+D145*$B$7-SUM($G$2:G145))))</f>
        <v/>
      </c>
      <c r="I145" s="7">
        <f t="shared" ca="1" si="9"/>
        <v>0</v>
      </c>
      <c r="J145" s="7" t="str">
        <f t="shared" ca="1" si="10"/>
        <v/>
      </c>
      <c r="K145" s="7" t="str">
        <f t="shared" ca="1" si="11"/>
        <v/>
      </c>
      <c r="L145" s="7" t="str">
        <f ca="1">IF(J145="","",SUM($J$2:J145))</f>
        <v/>
      </c>
    </row>
    <row r="146" spans="1:12" s="7" customFormat="1" x14ac:dyDescent="0.25">
      <c r="A146"/>
      <c r="B146"/>
      <c r="C146" s="7" t="str">
        <f t="shared" ca="1" si="8"/>
        <v/>
      </c>
      <c r="D146" s="7" t="str">
        <f ca="1">IF(E146="","",INT(SUM($E$2:E146)))</f>
        <v/>
      </c>
      <c r="E146" t="str">
        <f ca="1">IF(SUM($E$2:E145)&lt;$B$6,invexp($B$4),"")</f>
        <v/>
      </c>
      <c r="F146"/>
      <c r="G146" t="str">
        <f ca="1">IF(E146="","",invexp($B$5))</f>
        <v/>
      </c>
      <c r="H146" t="str">
        <f ca="1">IF(H145="","",IF(H145&lt;0,"",IF(E146="","",$B$1+D146*$B$7-SUM($G$2:G146))))</f>
        <v/>
      </c>
      <c r="I146" s="7">
        <f t="shared" ca="1" si="9"/>
        <v>0</v>
      </c>
      <c r="J146" s="7" t="str">
        <f t="shared" ca="1" si="10"/>
        <v/>
      </c>
      <c r="K146" s="7" t="str">
        <f t="shared" ca="1" si="11"/>
        <v/>
      </c>
      <c r="L146" s="7" t="str">
        <f ca="1">IF(J146="","",SUM($J$2:J146))</f>
        <v/>
      </c>
    </row>
    <row r="147" spans="1:12" s="7" customFormat="1" x14ac:dyDescent="0.25">
      <c r="A147"/>
      <c r="B147"/>
      <c r="C147" s="7" t="str">
        <f t="shared" ca="1" si="8"/>
        <v/>
      </c>
      <c r="D147" s="7" t="str">
        <f ca="1">IF(E147="","",INT(SUM($E$2:E147)))</f>
        <v/>
      </c>
      <c r="E147" t="str">
        <f ca="1">IF(SUM($E$2:E146)&lt;$B$6,invexp($B$4),"")</f>
        <v/>
      </c>
      <c r="F147"/>
      <c r="G147" t="str">
        <f ca="1">IF(E147="","",invexp($B$5))</f>
        <v/>
      </c>
      <c r="H147" t="str">
        <f ca="1">IF(H146="","",IF(H146&lt;0,"",IF(E147="","",$B$1+D147*$B$7-SUM($G$2:G147))))</f>
        <v/>
      </c>
      <c r="I147" s="7">
        <f t="shared" ca="1" si="9"/>
        <v>0</v>
      </c>
      <c r="J147" s="7" t="str">
        <f t="shared" ca="1" si="10"/>
        <v/>
      </c>
      <c r="K147" s="7" t="str">
        <f t="shared" ca="1" si="11"/>
        <v/>
      </c>
      <c r="L147" s="7" t="str">
        <f ca="1">IF(J147="","",SUM($J$2:J147))</f>
        <v/>
      </c>
    </row>
    <row r="148" spans="1:12" s="7" customFormat="1" x14ac:dyDescent="0.25">
      <c r="A148"/>
      <c r="B148"/>
      <c r="C148" s="7" t="str">
        <f t="shared" ca="1" si="8"/>
        <v/>
      </c>
      <c r="D148" s="7" t="str">
        <f ca="1">IF(E148="","",INT(SUM($E$2:E148)))</f>
        <v/>
      </c>
      <c r="E148" t="str">
        <f ca="1">IF(SUM($E$2:E147)&lt;$B$6,invexp($B$4),"")</f>
        <v/>
      </c>
      <c r="F148"/>
      <c r="G148" t="str">
        <f ca="1">IF(E148="","",invexp($B$5))</f>
        <v/>
      </c>
      <c r="H148" t="str">
        <f ca="1">IF(H147="","",IF(H147&lt;0,"",IF(E148="","",$B$1+D148*$B$7-SUM($G$2:G148))))</f>
        <v/>
      </c>
      <c r="I148" s="7">
        <f t="shared" ca="1" si="9"/>
        <v>0</v>
      </c>
      <c r="J148" s="7" t="str">
        <f t="shared" ca="1" si="10"/>
        <v/>
      </c>
      <c r="K148" s="7" t="str">
        <f t="shared" ca="1" si="11"/>
        <v/>
      </c>
      <c r="L148" s="7" t="str">
        <f ca="1">IF(J148="","",SUM($J$2:J148))</f>
        <v/>
      </c>
    </row>
    <row r="149" spans="1:12" s="7" customFormat="1" x14ac:dyDescent="0.25">
      <c r="A149"/>
      <c r="B149"/>
      <c r="C149" s="7" t="str">
        <f t="shared" ca="1" si="8"/>
        <v/>
      </c>
      <c r="D149" s="7" t="str">
        <f ca="1">IF(E149="","",INT(SUM($E$2:E149)))</f>
        <v/>
      </c>
      <c r="E149" t="str">
        <f ca="1">IF(SUM($E$2:E148)&lt;$B$6,invexp($B$4),"")</f>
        <v/>
      </c>
      <c r="F149"/>
      <c r="G149" t="str">
        <f ca="1">IF(E149="","",invexp($B$5))</f>
        <v/>
      </c>
      <c r="H149" t="str">
        <f ca="1">IF(H148="","",IF(H148&lt;0,"",IF(E149="","",$B$1+D149*$B$7-SUM($G$2:G149))))</f>
        <v/>
      </c>
      <c r="I149" s="7">
        <f t="shared" ca="1" si="9"/>
        <v>0</v>
      </c>
      <c r="J149" s="7" t="str">
        <f t="shared" ca="1" si="10"/>
        <v/>
      </c>
      <c r="K149" s="7" t="str">
        <f t="shared" ca="1" si="11"/>
        <v/>
      </c>
      <c r="L149" s="7" t="str">
        <f ca="1">IF(J149="","",SUM($J$2:J149))</f>
        <v/>
      </c>
    </row>
    <row r="150" spans="1:12" s="7" customFormat="1" x14ac:dyDescent="0.25">
      <c r="A150"/>
      <c r="B150"/>
      <c r="C150" s="7" t="str">
        <f t="shared" ca="1" si="8"/>
        <v/>
      </c>
      <c r="D150" s="7" t="str">
        <f ca="1">IF(E150="","",INT(SUM($E$2:E150)))</f>
        <v/>
      </c>
      <c r="E150" t="str">
        <f ca="1">IF(SUM($E$2:E149)&lt;$B$6,invexp($B$4),"")</f>
        <v/>
      </c>
      <c r="F150"/>
      <c r="G150" t="str">
        <f ca="1">IF(E150="","",invexp($B$5))</f>
        <v/>
      </c>
      <c r="H150" t="str">
        <f ca="1">IF(H149="","",IF(H149&lt;0,"",IF(E150="","",$B$1+D150*$B$7-SUM($G$2:G150))))</f>
        <v/>
      </c>
      <c r="I150" s="7">
        <f t="shared" ca="1" si="9"/>
        <v>0</v>
      </c>
      <c r="J150" s="7" t="str">
        <f t="shared" ca="1" si="10"/>
        <v/>
      </c>
      <c r="K150" s="7" t="str">
        <f t="shared" ca="1" si="11"/>
        <v/>
      </c>
      <c r="L150" s="7" t="str">
        <f ca="1">IF(J150="","",SUM($J$2:J150))</f>
        <v/>
      </c>
    </row>
    <row r="151" spans="1:12" s="7" customFormat="1" x14ac:dyDescent="0.25">
      <c r="A151"/>
      <c r="B151"/>
      <c r="C151" s="7" t="str">
        <f t="shared" ca="1" si="8"/>
        <v/>
      </c>
      <c r="D151" s="7" t="str">
        <f ca="1">IF(E151="","",INT(SUM($E$2:E151)))</f>
        <v/>
      </c>
      <c r="E151" t="str">
        <f ca="1">IF(SUM($E$2:E150)&lt;$B$6,invexp($B$4),"")</f>
        <v/>
      </c>
      <c r="F151"/>
      <c r="G151" t="str">
        <f ca="1">IF(E151="","",invexp($B$5))</f>
        <v/>
      </c>
      <c r="H151" t="str">
        <f ca="1">IF(H150="","",IF(H150&lt;0,"",IF(E151="","",$B$1+D151*$B$7-SUM($G$2:G151))))</f>
        <v/>
      </c>
      <c r="I151" s="7">
        <f t="shared" ca="1" si="9"/>
        <v>0</v>
      </c>
      <c r="J151" s="7" t="str">
        <f t="shared" ca="1" si="10"/>
        <v/>
      </c>
      <c r="K151" s="7" t="str">
        <f t="shared" ca="1" si="11"/>
        <v/>
      </c>
      <c r="L151" s="7" t="str">
        <f ca="1">IF(J151="","",SUM($J$2:J151))</f>
        <v/>
      </c>
    </row>
    <row r="152" spans="1:12" s="7" customFormat="1" x14ac:dyDescent="0.25">
      <c r="A152"/>
      <c r="B152"/>
      <c r="C152" s="7" t="str">
        <f t="shared" ca="1" si="8"/>
        <v/>
      </c>
      <c r="D152" s="7" t="str">
        <f ca="1">IF(E152="","",INT(SUM($E$2:E152)))</f>
        <v/>
      </c>
      <c r="E152" t="str">
        <f ca="1">IF(SUM($E$2:E151)&lt;$B$6,invexp($B$4),"")</f>
        <v/>
      </c>
      <c r="F152"/>
      <c r="G152" t="str">
        <f ca="1">IF(E152="","",invexp($B$5))</f>
        <v/>
      </c>
      <c r="H152" t="str">
        <f ca="1">IF(H151="","",IF(H151&lt;0,"",IF(E152="","",$B$1+D152*$B$7-SUM($G$2:G152))))</f>
        <v/>
      </c>
      <c r="I152" s="7">
        <f t="shared" ca="1" si="9"/>
        <v>0</v>
      </c>
      <c r="J152" s="7" t="str">
        <f t="shared" ca="1" si="10"/>
        <v/>
      </c>
      <c r="K152" s="7" t="str">
        <f t="shared" ca="1" si="11"/>
        <v/>
      </c>
      <c r="L152" s="7" t="str">
        <f ca="1">IF(J152="","",SUM($J$2:J152))</f>
        <v/>
      </c>
    </row>
    <row r="153" spans="1:12" s="7" customFormat="1" x14ac:dyDescent="0.25">
      <c r="A153"/>
      <c r="B153"/>
      <c r="C153" s="7" t="str">
        <f t="shared" ca="1" si="8"/>
        <v/>
      </c>
      <c r="D153" s="7" t="str">
        <f ca="1">IF(E153="","",INT(SUM($E$2:E153)))</f>
        <v/>
      </c>
      <c r="E153" t="str">
        <f ca="1">IF(SUM($E$2:E152)&lt;$B$6,invexp($B$4),"")</f>
        <v/>
      </c>
      <c r="F153"/>
      <c r="G153" t="str">
        <f ca="1">IF(E153="","",invexp($B$5))</f>
        <v/>
      </c>
      <c r="H153" t="str">
        <f ca="1">IF(H152="","",IF(H152&lt;0,"",IF(E153="","",$B$1+D153*$B$7-SUM($G$2:G153))))</f>
        <v/>
      </c>
      <c r="I153" s="7">
        <f t="shared" ca="1" si="9"/>
        <v>0</v>
      </c>
      <c r="J153" s="7" t="str">
        <f t="shared" ca="1" si="10"/>
        <v/>
      </c>
      <c r="K153" s="7" t="str">
        <f t="shared" ca="1" si="11"/>
        <v/>
      </c>
      <c r="L153" s="7" t="str">
        <f ca="1">IF(J153="","",SUM($J$2:J153))</f>
        <v/>
      </c>
    </row>
    <row r="154" spans="1:12" s="7" customFormat="1" x14ac:dyDescent="0.25">
      <c r="A154"/>
      <c r="B154"/>
      <c r="C154" s="7" t="str">
        <f t="shared" ca="1" si="8"/>
        <v/>
      </c>
      <c r="D154" s="7" t="str">
        <f ca="1">IF(E154="","",INT(SUM($E$2:E154)))</f>
        <v/>
      </c>
      <c r="E154" t="str">
        <f ca="1">IF(SUM($E$2:E153)&lt;$B$6,invexp($B$4),"")</f>
        <v/>
      </c>
      <c r="F154"/>
      <c r="G154" t="str">
        <f ca="1">IF(E154="","",invexp($B$5))</f>
        <v/>
      </c>
      <c r="H154" t="str">
        <f ca="1">IF(H153="","",IF(H153&lt;0,"",IF(E154="","",$B$1+D154*$B$7-SUM($G$2:G154))))</f>
        <v/>
      </c>
      <c r="I154" s="7">
        <f t="shared" ca="1" si="9"/>
        <v>0</v>
      </c>
      <c r="J154" s="7" t="str">
        <f t="shared" ca="1" si="10"/>
        <v/>
      </c>
      <c r="K154" s="7" t="str">
        <f t="shared" ca="1" si="11"/>
        <v/>
      </c>
      <c r="L154" s="7" t="str">
        <f ca="1">IF(J154="","",SUM($J$2:J154))</f>
        <v/>
      </c>
    </row>
    <row r="155" spans="1:12" s="7" customFormat="1" x14ac:dyDescent="0.25">
      <c r="A155"/>
      <c r="B155"/>
      <c r="C155" s="7" t="str">
        <f t="shared" ca="1" si="8"/>
        <v/>
      </c>
      <c r="D155" s="7" t="str">
        <f ca="1">IF(E155="","",INT(SUM($E$2:E155)))</f>
        <v/>
      </c>
      <c r="E155" t="str">
        <f ca="1">IF(SUM($E$2:E154)&lt;$B$6,invexp($B$4),"")</f>
        <v/>
      </c>
      <c r="F155"/>
      <c r="G155" t="str">
        <f ca="1">IF(E155="","",invexp($B$5))</f>
        <v/>
      </c>
      <c r="H155" t="str">
        <f ca="1">IF(H154="","",IF(H154&lt;0,"",IF(E155="","",$B$1+D155*$B$7-SUM($G$2:G155))))</f>
        <v/>
      </c>
      <c r="I155" s="7">
        <f t="shared" ca="1" si="9"/>
        <v>0</v>
      </c>
      <c r="J155" s="7" t="str">
        <f t="shared" ca="1" si="10"/>
        <v/>
      </c>
      <c r="K155" s="7" t="str">
        <f t="shared" ca="1" si="11"/>
        <v/>
      </c>
      <c r="L155" s="7" t="str">
        <f ca="1">IF(J155="","",SUM($J$2:J155))</f>
        <v/>
      </c>
    </row>
    <row r="156" spans="1:12" s="7" customFormat="1" x14ac:dyDescent="0.25">
      <c r="A156"/>
      <c r="B156"/>
      <c r="C156" s="7" t="str">
        <f t="shared" ca="1" si="8"/>
        <v/>
      </c>
      <c r="D156" s="7" t="str">
        <f ca="1">IF(E156="","",INT(SUM($E$2:E156)))</f>
        <v/>
      </c>
      <c r="E156" t="str">
        <f ca="1">IF(SUM($E$2:E155)&lt;$B$6,invexp($B$4),"")</f>
        <v/>
      </c>
      <c r="F156"/>
      <c r="G156" t="str">
        <f ca="1">IF(E156="","",invexp($B$5))</f>
        <v/>
      </c>
      <c r="H156" t="str">
        <f ca="1">IF(H155="","",IF(H155&lt;0,"",IF(E156="","",$B$1+D156*$B$7-SUM($G$2:G156))))</f>
        <v/>
      </c>
      <c r="I156" s="7">
        <f t="shared" ca="1" si="9"/>
        <v>0</v>
      </c>
      <c r="J156" s="7" t="str">
        <f t="shared" ca="1" si="10"/>
        <v/>
      </c>
      <c r="K156" s="7" t="str">
        <f t="shared" ca="1" si="11"/>
        <v/>
      </c>
      <c r="L156" s="7" t="str">
        <f ca="1">IF(J156="","",SUM($J$2:J156))</f>
        <v/>
      </c>
    </row>
    <row r="157" spans="1:12" s="7" customFormat="1" x14ac:dyDescent="0.25">
      <c r="A157"/>
      <c r="B157"/>
      <c r="C157" s="7" t="str">
        <f t="shared" ca="1" si="8"/>
        <v/>
      </c>
      <c r="D157" s="7" t="str">
        <f ca="1">IF(E157="","",INT(SUM($E$2:E157)))</f>
        <v/>
      </c>
      <c r="E157" t="str">
        <f ca="1">IF(SUM($E$2:E156)&lt;$B$6,invexp($B$4),"")</f>
        <v/>
      </c>
      <c r="F157"/>
      <c r="G157" t="str">
        <f ca="1">IF(E157="","",invexp($B$5))</f>
        <v/>
      </c>
      <c r="H157" t="str">
        <f ca="1">IF(H156="","",IF(H156&lt;0,"",IF(E157="","",$B$1+D157*$B$7-SUM($G$2:G157))))</f>
        <v/>
      </c>
      <c r="I157" s="7">
        <f t="shared" ca="1" si="9"/>
        <v>0</v>
      </c>
      <c r="J157" s="7" t="str">
        <f t="shared" ca="1" si="10"/>
        <v/>
      </c>
      <c r="K157" s="7" t="str">
        <f t="shared" ca="1" si="11"/>
        <v/>
      </c>
      <c r="L157" s="7" t="str">
        <f ca="1">IF(J157="","",SUM($J$2:J157))</f>
        <v/>
      </c>
    </row>
    <row r="158" spans="1:12" s="7" customFormat="1" x14ac:dyDescent="0.25">
      <c r="A158"/>
      <c r="B158"/>
      <c r="C158" s="7" t="str">
        <f t="shared" ca="1" si="8"/>
        <v/>
      </c>
      <c r="D158" s="7" t="str">
        <f ca="1">IF(E158="","",INT(SUM($E$2:E158)))</f>
        <v/>
      </c>
      <c r="E158" t="str">
        <f ca="1">IF(SUM($E$2:E157)&lt;$B$6,invexp($B$4),"")</f>
        <v/>
      </c>
      <c r="F158"/>
      <c r="G158" t="str">
        <f ca="1">IF(E158="","",invexp($B$5))</f>
        <v/>
      </c>
      <c r="H158" t="str">
        <f ca="1">IF(H157="","",IF(H157&lt;0,"",IF(E158="","",$B$1+D158*$B$7-SUM($G$2:G158))))</f>
        <v/>
      </c>
      <c r="I158" s="7">
        <f t="shared" ca="1" si="9"/>
        <v>0</v>
      </c>
      <c r="J158" s="7" t="str">
        <f t="shared" ca="1" si="10"/>
        <v/>
      </c>
      <c r="K158" s="7" t="str">
        <f t="shared" ca="1" si="11"/>
        <v/>
      </c>
      <c r="L158" s="7" t="str">
        <f ca="1">IF(J158="","",SUM($J$2:J158))</f>
        <v/>
      </c>
    </row>
    <row r="159" spans="1:12" s="7" customFormat="1" x14ac:dyDescent="0.25">
      <c r="A159"/>
      <c r="B159"/>
      <c r="C159" s="7" t="str">
        <f t="shared" ca="1" si="8"/>
        <v/>
      </c>
      <c r="D159" s="7" t="str">
        <f ca="1">IF(E159="","",INT(SUM($E$2:E159)))</f>
        <v/>
      </c>
      <c r="E159" t="str">
        <f ca="1">IF(SUM($E$2:E158)&lt;$B$6,invexp($B$4),"")</f>
        <v/>
      </c>
      <c r="F159"/>
      <c r="G159" t="str">
        <f ca="1">IF(E159="","",invexp($B$5))</f>
        <v/>
      </c>
      <c r="H159" t="str">
        <f ca="1">IF(H158="","",IF(H158&lt;0,"",IF(E159="","",$B$1+D159*$B$7-SUM($G$2:G159))))</f>
        <v/>
      </c>
      <c r="I159" s="7">
        <f t="shared" ca="1" si="9"/>
        <v>0</v>
      </c>
      <c r="J159" s="7" t="str">
        <f t="shared" ca="1" si="10"/>
        <v/>
      </c>
      <c r="K159" s="7" t="str">
        <f t="shared" ca="1" si="11"/>
        <v/>
      </c>
      <c r="L159" s="7" t="str">
        <f ca="1">IF(J159="","",SUM($J$2:J159))</f>
        <v/>
      </c>
    </row>
    <row r="160" spans="1:12" s="7" customFormat="1" x14ac:dyDescent="0.25">
      <c r="A160"/>
      <c r="B160"/>
      <c r="C160" s="7" t="str">
        <f t="shared" ca="1" si="8"/>
        <v/>
      </c>
      <c r="D160" s="7" t="str">
        <f ca="1">IF(E160="","",INT(SUM($E$2:E160)))</f>
        <v/>
      </c>
      <c r="E160" t="str">
        <f ca="1">IF(SUM($E$2:E159)&lt;$B$6,invexp($B$4),"")</f>
        <v/>
      </c>
      <c r="F160"/>
      <c r="G160" t="str">
        <f ca="1">IF(E160="","",invexp($B$5))</f>
        <v/>
      </c>
      <c r="H160" t="str">
        <f ca="1">IF(H159="","",IF(H159&lt;0,"",IF(E160="","",$B$1+D160*$B$7-SUM($G$2:G160))))</f>
        <v/>
      </c>
      <c r="I160" s="7">
        <f t="shared" ca="1" si="9"/>
        <v>0</v>
      </c>
      <c r="J160" s="7" t="str">
        <f t="shared" ca="1" si="10"/>
        <v/>
      </c>
      <c r="K160" s="7" t="str">
        <f t="shared" ca="1" si="11"/>
        <v/>
      </c>
      <c r="L160" s="7" t="str">
        <f ca="1">IF(J160="","",SUM($J$2:J160))</f>
        <v/>
      </c>
    </row>
    <row r="161" spans="1:12" s="7" customFormat="1" x14ac:dyDescent="0.25">
      <c r="A161"/>
      <c r="B161"/>
      <c r="C161" s="7" t="str">
        <f t="shared" ca="1" si="8"/>
        <v/>
      </c>
      <c r="D161" s="7" t="str">
        <f ca="1">IF(E161="","",INT(SUM($E$2:E161)))</f>
        <v/>
      </c>
      <c r="E161" t="str">
        <f ca="1">IF(SUM($E$2:E160)&lt;$B$6,invexp($B$4),"")</f>
        <v/>
      </c>
      <c r="F161"/>
      <c r="G161" t="str">
        <f ca="1">IF(E161="","",invexp($B$5))</f>
        <v/>
      </c>
      <c r="H161" t="str">
        <f ca="1">IF(H160="","",IF(H160&lt;0,"",IF(E161="","",$B$1+D161*$B$7-SUM($G$2:G161))))</f>
        <v/>
      </c>
      <c r="I161" s="7">
        <f t="shared" ca="1" si="9"/>
        <v>0</v>
      </c>
      <c r="J161" s="7" t="str">
        <f t="shared" ca="1" si="10"/>
        <v/>
      </c>
      <c r="K161" s="7" t="str">
        <f t="shared" ca="1" si="11"/>
        <v/>
      </c>
      <c r="L161" s="7" t="str">
        <f ca="1">IF(J161="","",SUM($J$2:J161))</f>
        <v/>
      </c>
    </row>
    <row r="162" spans="1:12" s="7" customFormat="1" x14ac:dyDescent="0.25">
      <c r="A162"/>
      <c r="B162"/>
      <c r="C162" s="7" t="str">
        <f t="shared" ca="1" si="8"/>
        <v/>
      </c>
      <c r="D162" s="7" t="str">
        <f ca="1">IF(E162="","",INT(SUM($E$2:E162)))</f>
        <v/>
      </c>
      <c r="E162" t="str">
        <f ca="1">IF(SUM($E$2:E161)&lt;$B$6,invexp($B$4),"")</f>
        <v/>
      </c>
      <c r="F162"/>
      <c r="G162" t="str">
        <f ca="1">IF(E162="","",invexp($B$5))</f>
        <v/>
      </c>
      <c r="H162" t="str">
        <f ca="1">IF(H161="","",IF(H161&lt;0,"",IF(E162="","",$B$1+D162*$B$7-SUM($G$2:G162))))</f>
        <v/>
      </c>
      <c r="I162" s="7">
        <f t="shared" ca="1" si="9"/>
        <v>0</v>
      </c>
      <c r="J162" s="7" t="str">
        <f t="shared" ca="1" si="10"/>
        <v/>
      </c>
      <c r="K162" s="7" t="str">
        <f t="shared" ca="1" si="11"/>
        <v/>
      </c>
      <c r="L162" s="7" t="str">
        <f ca="1">IF(J162="","",SUM($J$2:J162))</f>
        <v/>
      </c>
    </row>
    <row r="163" spans="1:12" s="7" customFormat="1" x14ac:dyDescent="0.25">
      <c r="A163"/>
      <c r="B163"/>
      <c r="C163" s="7" t="str">
        <f t="shared" ca="1" si="8"/>
        <v/>
      </c>
      <c r="D163" s="7" t="str">
        <f ca="1">IF(E163="","",INT(SUM($E$2:E163)))</f>
        <v/>
      </c>
      <c r="E163" t="str">
        <f ca="1">IF(SUM($E$2:E162)&lt;$B$6,invexp($B$4),"")</f>
        <v/>
      </c>
      <c r="F163"/>
      <c r="G163" t="str">
        <f ca="1">IF(E163="","",invexp($B$5))</f>
        <v/>
      </c>
      <c r="H163" t="str">
        <f ca="1">IF(H162="","",IF(H162&lt;0,"",IF(E163="","",$B$1+D163*$B$7-SUM($G$2:G163))))</f>
        <v/>
      </c>
      <c r="I163" s="7">
        <f t="shared" ca="1" si="9"/>
        <v>0</v>
      </c>
      <c r="J163" s="7" t="str">
        <f t="shared" ca="1" si="10"/>
        <v/>
      </c>
      <c r="K163" s="7" t="str">
        <f t="shared" ca="1" si="11"/>
        <v/>
      </c>
      <c r="L163" s="7" t="str">
        <f ca="1">IF(J163="","",SUM($J$2:J163))</f>
        <v/>
      </c>
    </row>
    <row r="164" spans="1:12" s="7" customFormat="1" x14ac:dyDescent="0.25">
      <c r="A164"/>
      <c r="B164"/>
      <c r="C164" s="7" t="str">
        <f t="shared" ca="1" si="8"/>
        <v/>
      </c>
      <c r="D164" s="7" t="str">
        <f ca="1">IF(E164="","",INT(SUM($E$2:E164)))</f>
        <v/>
      </c>
      <c r="E164" t="str">
        <f ca="1">IF(SUM($E$2:E163)&lt;$B$6,invexp($B$4),"")</f>
        <v/>
      </c>
      <c r="F164"/>
      <c r="G164" t="str">
        <f ca="1">IF(E164="","",invexp($B$5))</f>
        <v/>
      </c>
      <c r="H164" t="str">
        <f ca="1">IF(H163="","",IF(H163&lt;0,"",IF(E164="","",$B$1+D164*$B$7-SUM($G$2:G164))))</f>
        <v/>
      </c>
      <c r="I164" s="7">
        <f t="shared" ca="1" si="9"/>
        <v>0</v>
      </c>
      <c r="J164" s="7" t="str">
        <f t="shared" ca="1" si="10"/>
        <v/>
      </c>
      <c r="K164" s="7" t="str">
        <f t="shared" ca="1" si="11"/>
        <v/>
      </c>
      <c r="L164" s="7" t="str">
        <f ca="1">IF(J164="","",SUM($J$2:J164))</f>
        <v/>
      </c>
    </row>
    <row r="165" spans="1:12" s="7" customFormat="1" x14ac:dyDescent="0.25">
      <c r="A165"/>
      <c r="B165"/>
      <c r="C165" s="7" t="str">
        <f t="shared" ca="1" si="8"/>
        <v/>
      </c>
      <c r="D165" s="7" t="str">
        <f ca="1">IF(E165="","",INT(SUM($E$2:E165)))</f>
        <v/>
      </c>
      <c r="E165" t="str">
        <f ca="1">IF(SUM($E$2:E164)&lt;$B$6,invexp($B$4),"")</f>
        <v/>
      </c>
      <c r="F165"/>
      <c r="G165" t="str">
        <f ca="1">IF(E165="","",invexp($B$5))</f>
        <v/>
      </c>
      <c r="H165" t="str">
        <f ca="1">IF(H164="","",IF(H164&lt;0,"",IF(E165="","",$B$1+D165*$B$7-SUM($G$2:G165))))</f>
        <v/>
      </c>
      <c r="I165" s="7">
        <f t="shared" ca="1" si="9"/>
        <v>0</v>
      </c>
      <c r="J165" s="7" t="str">
        <f t="shared" ca="1" si="10"/>
        <v/>
      </c>
      <c r="K165" s="7" t="str">
        <f t="shared" ca="1" si="11"/>
        <v/>
      </c>
      <c r="L165" s="7" t="str">
        <f ca="1">IF(J165="","",SUM($J$2:J165))</f>
        <v/>
      </c>
    </row>
    <row r="166" spans="1:12" s="7" customFormat="1" x14ac:dyDescent="0.25">
      <c r="A166"/>
      <c r="B166"/>
      <c r="C166" s="7" t="str">
        <f t="shared" ca="1" si="8"/>
        <v/>
      </c>
      <c r="D166" s="7" t="str">
        <f ca="1">IF(E166="","",INT(SUM($E$2:E166)))</f>
        <v/>
      </c>
      <c r="E166" t="str">
        <f ca="1">IF(SUM($E$2:E165)&lt;$B$6,invexp($B$4),"")</f>
        <v/>
      </c>
      <c r="F166"/>
      <c r="G166" t="str">
        <f ca="1">IF(E166="","",invexp($B$5))</f>
        <v/>
      </c>
      <c r="H166" t="str">
        <f ca="1">IF(H165="","",IF(H165&lt;0,"",IF(E166="","",$B$1+D166*$B$7-SUM($G$2:G166))))</f>
        <v/>
      </c>
      <c r="I166" s="7">
        <f t="shared" ca="1" si="9"/>
        <v>0</v>
      </c>
      <c r="J166" s="7" t="str">
        <f t="shared" ca="1" si="10"/>
        <v/>
      </c>
      <c r="K166" s="7" t="str">
        <f t="shared" ca="1" si="11"/>
        <v/>
      </c>
      <c r="L166" s="7" t="str">
        <f ca="1">IF(J166="","",SUM($J$2:J166))</f>
        <v/>
      </c>
    </row>
    <row r="167" spans="1:12" s="7" customFormat="1" x14ac:dyDescent="0.25">
      <c r="A167"/>
      <c r="B167"/>
      <c r="C167" s="7" t="str">
        <f t="shared" ca="1" si="8"/>
        <v/>
      </c>
      <c r="D167" s="7" t="str">
        <f ca="1">IF(E167="","",INT(SUM($E$2:E167)))</f>
        <v/>
      </c>
      <c r="E167" t="str">
        <f ca="1">IF(SUM($E$2:E166)&lt;$B$6,invexp($B$4),"")</f>
        <v/>
      </c>
      <c r="F167"/>
      <c r="G167" t="str">
        <f ca="1">IF(E167="","",invexp($B$5))</f>
        <v/>
      </c>
      <c r="H167" t="str">
        <f ca="1">IF(H166="","",IF(H166&lt;0,"",IF(E167="","",$B$1+D167*$B$7-SUM($G$2:G167))))</f>
        <v/>
      </c>
      <c r="I167" s="7">
        <f t="shared" ca="1" si="9"/>
        <v>0</v>
      </c>
      <c r="J167" s="7" t="str">
        <f t="shared" ca="1" si="10"/>
        <v/>
      </c>
      <c r="K167" s="7" t="str">
        <f t="shared" ca="1" si="11"/>
        <v/>
      </c>
      <c r="L167" s="7" t="str">
        <f ca="1">IF(J167="","",SUM($J$2:J167))</f>
        <v/>
      </c>
    </row>
    <row r="168" spans="1:12" s="7" customFormat="1" x14ac:dyDescent="0.25">
      <c r="A168"/>
      <c r="B168"/>
      <c r="C168" s="7" t="str">
        <f t="shared" ca="1" si="8"/>
        <v/>
      </c>
      <c r="D168" s="7" t="str">
        <f ca="1">IF(E168="","",INT(SUM($E$2:E168)))</f>
        <v/>
      </c>
      <c r="E168" t="str">
        <f ca="1">IF(SUM($E$2:E167)&lt;$B$6,invexp($B$4),"")</f>
        <v/>
      </c>
      <c r="F168"/>
      <c r="G168" t="str">
        <f ca="1">IF(E168="","",invexp($B$5))</f>
        <v/>
      </c>
      <c r="H168" t="str">
        <f ca="1">IF(H167="","",IF(H167&lt;0,"",IF(E168="","",$B$1+D168*$B$7-SUM($G$2:G168))))</f>
        <v/>
      </c>
      <c r="I168" s="7">
        <f t="shared" ca="1" si="9"/>
        <v>0</v>
      </c>
      <c r="J168" s="7" t="str">
        <f t="shared" ca="1" si="10"/>
        <v/>
      </c>
      <c r="K168" s="7" t="str">
        <f t="shared" ca="1" si="11"/>
        <v/>
      </c>
      <c r="L168" s="7" t="str">
        <f ca="1">IF(J168="","",SUM($J$2:J168))</f>
        <v/>
      </c>
    </row>
    <row r="169" spans="1:12" s="7" customFormat="1" x14ac:dyDescent="0.25">
      <c r="A169"/>
      <c r="B169"/>
      <c r="C169" s="7" t="str">
        <f t="shared" ca="1" si="8"/>
        <v/>
      </c>
      <c r="D169" s="7" t="str">
        <f ca="1">IF(E169="","",INT(SUM($E$2:E169)))</f>
        <v/>
      </c>
      <c r="E169" t="str">
        <f ca="1">IF(SUM($E$2:E168)&lt;$B$6,invexp($B$4),"")</f>
        <v/>
      </c>
      <c r="F169"/>
      <c r="G169" t="str">
        <f ca="1">IF(E169="","",invexp($B$5))</f>
        <v/>
      </c>
      <c r="H169" t="str">
        <f ca="1">IF(H168="","",IF(H168&lt;0,"",IF(E169="","",$B$1+D169*$B$7-SUM($G$2:G169))))</f>
        <v/>
      </c>
      <c r="I169" s="7">
        <f t="shared" ca="1" si="9"/>
        <v>0</v>
      </c>
      <c r="J169" s="7" t="str">
        <f t="shared" ca="1" si="10"/>
        <v/>
      </c>
      <c r="K169" s="7" t="str">
        <f t="shared" ca="1" si="11"/>
        <v/>
      </c>
      <c r="L169" s="7" t="str">
        <f ca="1">IF(J169="","",SUM($J$2:J169))</f>
        <v/>
      </c>
    </row>
    <row r="170" spans="1:12" s="7" customFormat="1" x14ac:dyDescent="0.25">
      <c r="A170"/>
      <c r="B170"/>
      <c r="C170" s="7" t="str">
        <f t="shared" ca="1" si="8"/>
        <v/>
      </c>
      <c r="D170" s="7" t="str">
        <f ca="1">IF(E170="","",INT(SUM($E$2:E170)))</f>
        <v/>
      </c>
      <c r="E170" t="str">
        <f ca="1">IF(SUM($E$2:E169)&lt;$B$6,invexp($B$4),"")</f>
        <v/>
      </c>
      <c r="F170"/>
      <c r="G170" t="str">
        <f ca="1">IF(E170="","",invexp($B$5))</f>
        <v/>
      </c>
      <c r="H170" t="str">
        <f ca="1">IF(H169="","",IF(H169&lt;0,"",IF(E170="","",$B$1+D170*$B$7-SUM($G$2:G170))))</f>
        <v/>
      </c>
      <c r="I170" s="7">
        <f t="shared" ca="1" si="9"/>
        <v>0</v>
      </c>
      <c r="J170" s="7" t="str">
        <f t="shared" ca="1" si="10"/>
        <v/>
      </c>
      <c r="K170" s="7" t="str">
        <f t="shared" ca="1" si="11"/>
        <v/>
      </c>
      <c r="L170" s="7" t="str">
        <f ca="1">IF(J170="","",SUM($J$2:J170))</f>
        <v/>
      </c>
    </row>
    <row r="171" spans="1:12" s="7" customFormat="1" x14ac:dyDescent="0.25">
      <c r="A171"/>
      <c r="B171"/>
      <c r="C171" s="7" t="str">
        <f t="shared" ca="1" si="8"/>
        <v/>
      </c>
      <c r="D171" s="7" t="str">
        <f ca="1">IF(E171="","",INT(SUM($E$2:E171)))</f>
        <v/>
      </c>
      <c r="E171" t="str">
        <f ca="1">IF(SUM($E$2:E170)&lt;$B$6,invexp($B$4),"")</f>
        <v/>
      </c>
      <c r="F171"/>
      <c r="G171" t="str">
        <f ca="1">IF(E171="","",invexp($B$5))</f>
        <v/>
      </c>
      <c r="H171" t="str">
        <f ca="1">IF(H170="","",IF(H170&lt;0,"",IF(E171="","",$B$1+D171*$B$7-SUM($G$2:G171))))</f>
        <v/>
      </c>
      <c r="I171" s="7">
        <f t="shared" ca="1" si="9"/>
        <v>0</v>
      </c>
      <c r="J171" s="7" t="str">
        <f t="shared" ca="1" si="10"/>
        <v/>
      </c>
      <c r="K171" s="7" t="str">
        <f t="shared" ca="1" si="11"/>
        <v/>
      </c>
      <c r="L171" s="7" t="str">
        <f ca="1">IF(J171="","",SUM($J$2:J171))</f>
        <v/>
      </c>
    </row>
    <row r="172" spans="1:12" s="7" customFormat="1" x14ac:dyDescent="0.25">
      <c r="A172"/>
      <c r="B172"/>
      <c r="C172" s="7" t="str">
        <f t="shared" ca="1" si="8"/>
        <v/>
      </c>
      <c r="D172" s="7" t="str">
        <f ca="1">IF(E172="","",INT(SUM($E$2:E172)))</f>
        <v/>
      </c>
      <c r="E172" t="str">
        <f ca="1">IF(SUM($E$2:E171)&lt;$B$6,invexp($B$4),"")</f>
        <v/>
      </c>
      <c r="F172"/>
      <c r="G172" t="str">
        <f ca="1">IF(E172="","",invexp($B$5))</f>
        <v/>
      </c>
      <c r="H172" t="str">
        <f ca="1">IF(H171="","",IF(H171&lt;0,"",IF(E172="","",$B$1+D172*$B$7-SUM($G$2:G172))))</f>
        <v/>
      </c>
      <c r="I172" s="7">
        <f t="shared" ca="1" si="9"/>
        <v>0</v>
      </c>
      <c r="J172" s="7" t="str">
        <f t="shared" ca="1" si="10"/>
        <v/>
      </c>
      <c r="K172" s="7" t="str">
        <f t="shared" ca="1" si="11"/>
        <v/>
      </c>
      <c r="L172" s="7" t="str">
        <f ca="1">IF(J172="","",SUM($J$2:J172))</f>
        <v/>
      </c>
    </row>
    <row r="173" spans="1:12" s="7" customFormat="1" x14ac:dyDescent="0.25">
      <c r="A173"/>
      <c r="B173"/>
      <c r="C173" s="7" t="str">
        <f t="shared" ca="1" si="8"/>
        <v/>
      </c>
      <c r="D173" s="7" t="str">
        <f ca="1">IF(E173="","",INT(SUM($E$2:E173)))</f>
        <v/>
      </c>
      <c r="E173" t="str">
        <f ca="1">IF(SUM($E$2:E172)&lt;$B$6,invexp($B$4),"")</f>
        <v/>
      </c>
      <c r="F173"/>
      <c r="G173" t="str">
        <f ca="1">IF(E173="","",invexp($B$5))</f>
        <v/>
      </c>
      <c r="H173" t="str">
        <f ca="1">IF(H172="","",IF(H172&lt;0,"",IF(E173="","",$B$1+D173*$B$7-SUM($G$2:G173))))</f>
        <v/>
      </c>
      <c r="I173" s="7">
        <f t="shared" ca="1" si="9"/>
        <v>0</v>
      </c>
      <c r="J173" s="7" t="str">
        <f t="shared" ca="1" si="10"/>
        <v/>
      </c>
      <c r="K173" s="7" t="str">
        <f t="shared" ca="1" si="11"/>
        <v/>
      </c>
      <c r="L173" s="7" t="str">
        <f ca="1">IF(J173="","",SUM($J$2:J173))</f>
        <v/>
      </c>
    </row>
    <row r="174" spans="1:12" s="7" customFormat="1" x14ac:dyDescent="0.25">
      <c r="A174"/>
      <c r="B174"/>
      <c r="C174" s="7" t="str">
        <f t="shared" ca="1" si="8"/>
        <v/>
      </c>
      <c r="D174" s="7" t="str">
        <f ca="1">IF(E174="","",INT(SUM($E$2:E174)))</f>
        <v/>
      </c>
      <c r="E174" t="str">
        <f ca="1">IF(SUM($E$2:E173)&lt;$B$6,invexp($B$4),"")</f>
        <v/>
      </c>
      <c r="F174"/>
      <c r="G174" t="str">
        <f ca="1">IF(E174="","",invexp($B$5))</f>
        <v/>
      </c>
      <c r="H174" t="str">
        <f ca="1">IF(H173="","",IF(H173&lt;0,"",IF(E174="","",$B$1+D174*$B$7-SUM($G$2:G174))))</f>
        <v/>
      </c>
      <c r="I174" s="7">
        <f t="shared" ca="1" si="9"/>
        <v>0</v>
      </c>
      <c r="J174" s="7" t="str">
        <f t="shared" ca="1" si="10"/>
        <v/>
      </c>
      <c r="K174" s="7" t="str">
        <f t="shared" ca="1" si="11"/>
        <v/>
      </c>
      <c r="L174" s="7" t="str">
        <f ca="1">IF(J174="","",SUM($J$2:J174))</f>
        <v/>
      </c>
    </row>
    <row r="175" spans="1:12" s="7" customFormat="1" x14ac:dyDescent="0.25">
      <c r="A175"/>
      <c r="B175"/>
      <c r="C175" s="7" t="str">
        <f t="shared" ca="1" si="8"/>
        <v/>
      </c>
      <c r="D175" s="7" t="str">
        <f ca="1">IF(E175="","",INT(SUM($E$2:E175)))</f>
        <v/>
      </c>
      <c r="E175" t="str">
        <f ca="1">IF(SUM($E$2:E174)&lt;$B$6,invexp($B$4),"")</f>
        <v/>
      </c>
      <c r="F175"/>
      <c r="G175" t="str">
        <f ca="1">IF(E175="","",invexp($B$5))</f>
        <v/>
      </c>
      <c r="H175" t="str">
        <f ca="1">IF(H174="","",IF(H174&lt;0,"",IF(E175="","",$B$1+D175*$B$7-SUM($G$2:G175))))</f>
        <v/>
      </c>
      <c r="I175" s="7">
        <f t="shared" ca="1" si="9"/>
        <v>0</v>
      </c>
      <c r="J175" s="7" t="str">
        <f t="shared" ca="1" si="10"/>
        <v/>
      </c>
      <c r="K175" s="7" t="str">
        <f t="shared" ca="1" si="11"/>
        <v/>
      </c>
      <c r="L175" s="7" t="str">
        <f ca="1">IF(J175="","",SUM($J$2:J175))</f>
        <v/>
      </c>
    </row>
    <row r="176" spans="1:12" s="7" customFormat="1" x14ac:dyDescent="0.25">
      <c r="A176"/>
      <c r="B176"/>
      <c r="C176" s="7" t="str">
        <f t="shared" ca="1" si="8"/>
        <v/>
      </c>
      <c r="D176" s="7" t="str">
        <f ca="1">IF(E176="","",INT(SUM($E$2:E176)))</f>
        <v/>
      </c>
      <c r="E176" t="str">
        <f ca="1">IF(SUM($E$2:E175)&lt;$B$6,invexp($B$4),"")</f>
        <v/>
      </c>
      <c r="F176"/>
      <c r="G176" t="str">
        <f ca="1">IF(E176="","",invexp($B$5))</f>
        <v/>
      </c>
      <c r="H176" t="str">
        <f ca="1">IF(H175="","",IF(H175&lt;0,"",IF(E176="","",$B$1+D176*$B$7-SUM($G$2:G176))))</f>
        <v/>
      </c>
      <c r="I176" s="7">
        <f t="shared" ca="1" si="9"/>
        <v>0</v>
      </c>
      <c r="J176" s="7" t="str">
        <f t="shared" ca="1" si="10"/>
        <v/>
      </c>
      <c r="K176" s="7" t="str">
        <f t="shared" ca="1" si="11"/>
        <v/>
      </c>
      <c r="L176" s="7" t="str">
        <f ca="1">IF(J176="","",SUM($J$2:J176))</f>
        <v/>
      </c>
    </row>
    <row r="177" spans="1:12" s="7" customFormat="1" x14ac:dyDescent="0.25">
      <c r="A177"/>
      <c r="B177"/>
      <c r="C177" s="7" t="str">
        <f t="shared" ca="1" si="8"/>
        <v/>
      </c>
      <c r="D177" s="7" t="str">
        <f ca="1">IF(E177="","",INT(SUM($E$2:E177)))</f>
        <v/>
      </c>
      <c r="E177" t="str">
        <f ca="1">IF(SUM($E$2:E176)&lt;$B$6,invexp($B$4),"")</f>
        <v/>
      </c>
      <c r="F177"/>
      <c r="G177" t="str">
        <f ca="1">IF(E177="","",invexp($B$5))</f>
        <v/>
      </c>
      <c r="H177" t="str">
        <f ca="1">IF(H176="","",IF(H176&lt;0,"",IF(E177="","",$B$1+D177*$B$7-SUM($G$2:G177))))</f>
        <v/>
      </c>
      <c r="I177" s="7">
        <f t="shared" ca="1" si="9"/>
        <v>0</v>
      </c>
      <c r="J177" s="7" t="str">
        <f t="shared" ca="1" si="10"/>
        <v/>
      </c>
      <c r="K177" s="7" t="str">
        <f t="shared" ca="1" si="11"/>
        <v/>
      </c>
      <c r="L177" s="7" t="str">
        <f ca="1">IF(J177="","",SUM($J$2:J177))</f>
        <v/>
      </c>
    </row>
    <row r="178" spans="1:12" s="7" customFormat="1" x14ac:dyDescent="0.25">
      <c r="A178"/>
      <c r="B178"/>
      <c r="C178" s="7" t="str">
        <f t="shared" ca="1" si="8"/>
        <v/>
      </c>
      <c r="D178" s="7" t="str">
        <f ca="1">IF(E178="","",INT(SUM($E$2:E178)))</f>
        <v/>
      </c>
      <c r="E178" t="str">
        <f ca="1">IF(SUM($E$2:E177)&lt;$B$6,invexp($B$4),"")</f>
        <v/>
      </c>
      <c r="F178"/>
      <c r="G178" t="str">
        <f ca="1">IF(E178="","",invexp($B$5))</f>
        <v/>
      </c>
      <c r="H178" t="str">
        <f ca="1">IF(H177="","",IF(H177&lt;0,"",IF(E178="","",$B$1+D178*$B$7-SUM($G$2:G178))))</f>
        <v/>
      </c>
      <c r="I178" s="7">
        <f t="shared" ca="1" si="9"/>
        <v>0</v>
      </c>
      <c r="J178" s="7" t="str">
        <f t="shared" ca="1" si="10"/>
        <v/>
      </c>
      <c r="K178" s="7" t="str">
        <f t="shared" ca="1" si="11"/>
        <v/>
      </c>
      <c r="L178" s="7" t="str">
        <f ca="1">IF(J178="","",SUM($J$2:J178))</f>
        <v/>
      </c>
    </row>
    <row r="179" spans="1:12" s="7" customFormat="1" x14ac:dyDescent="0.25">
      <c r="A179"/>
      <c r="B179"/>
      <c r="C179" s="7" t="str">
        <f t="shared" ca="1" si="8"/>
        <v/>
      </c>
      <c r="D179" s="7" t="str">
        <f ca="1">IF(E179="","",INT(SUM($E$2:E179)))</f>
        <v/>
      </c>
      <c r="E179" t="str">
        <f ca="1">IF(SUM($E$2:E178)&lt;$B$6,invexp($B$4),"")</f>
        <v/>
      </c>
      <c r="F179"/>
      <c r="G179" t="str">
        <f ca="1">IF(E179="","",invexp($B$5))</f>
        <v/>
      </c>
      <c r="H179" t="str">
        <f ca="1">IF(H178="","",IF(H178&lt;0,"",IF(E179="","",$B$1+D179*$B$7-SUM($G$2:G179))))</f>
        <v/>
      </c>
      <c r="I179" s="7">
        <f t="shared" ca="1" si="9"/>
        <v>0</v>
      </c>
      <c r="J179" s="7" t="str">
        <f t="shared" ca="1" si="10"/>
        <v/>
      </c>
      <c r="K179" s="7" t="str">
        <f t="shared" ca="1" si="11"/>
        <v/>
      </c>
      <c r="L179" s="7" t="str">
        <f ca="1">IF(J179="","",SUM($J$2:J179))</f>
        <v/>
      </c>
    </row>
    <row r="180" spans="1:12" s="7" customFormat="1" x14ac:dyDescent="0.25">
      <c r="A180"/>
      <c r="B180"/>
      <c r="C180" s="7" t="str">
        <f t="shared" ca="1" si="8"/>
        <v/>
      </c>
      <c r="D180" s="7" t="str">
        <f ca="1">IF(E180="","",INT(SUM($E$2:E180)))</f>
        <v/>
      </c>
      <c r="E180" t="str">
        <f ca="1">IF(SUM($E$2:E179)&lt;$B$6,invexp($B$4),"")</f>
        <v/>
      </c>
      <c r="F180"/>
      <c r="G180" t="str">
        <f ca="1">IF(E180="","",invexp($B$5))</f>
        <v/>
      </c>
      <c r="H180" t="str">
        <f ca="1">IF(H179="","",IF(H179&lt;0,"",IF(E180="","",$B$1+D180*$B$7-SUM($G$2:G180))))</f>
        <v/>
      </c>
      <c r="I180" s="7">
        <f t="shared" ca="1" si="9"/>
        <v>0</v>
      </c>
      <c r="J180" s="7" t="str">
        <f t="shared" ca="1" si="10"/>
        <v/>
      </c>
      <c r="K180" s="7" t="str">
        <f t="shared" ca="1" si="11"/>
        <v/>
      </c>
      <c r="L180" s="7" t="str">
        <f ca="1">IF(J180="","",SUM($J$2:J180))</f>
        <v/>
      </c>
    </row>
    <row r="181" spans="1:12" s="7" customFormat="1" x14ac:dyDescent="0.25">
      <c r="A181"/>
      <c r="B181"/>
      <c r="C181" s="7" t="str">
        <f t="shared" ca="1" si="8"/>
        <v/>
      </c>
      <c r="D181" s="7" t="str">
        <f ca="1">IF(E181="","",INT(SUM($E$2:E181)))</f>
        <v/>
      </c>
      <c r="E181" t="str">
        <f ca="1">IF(SUM($E$2:E180)&lt;$B$6,invexp($B$4),"")</f>
        <v/>
      </c>
      <c r="F181"/>
      <c r="G181" t="str">
        <f ca="1">IF(E181="","",invexp($B$5))</f>
        <v/>
      </c>
      <c r="H181" t="str">
        <f ca="1">IF(H180="","",IF(H180&lt;0,"",IF(E181="","",$B$1+D181*$B$7-SUM($G$2:G181))))</f>
        <v/>
      </c>
      <c r="I181" s="7">
        <f t="shared" ca="1" si="9"/>
        <v>0</v>
      </c>
      <c r="J181" s="7" t="str">
        <f t="shared" ca="1" si="10"/>
        <v/>
      </c>
      <c r="K181" s="7" t="str">
        <f t="shared" ca="1" si="11"/>
        <v/>
      </c>
      <c r="L181" s="7" t="str">
        <f ca="1">IF(J181="","",SUM($J$2:J181))</f>
        <v/>
      </c>
    </row>
    <row r="182" spans="1:12" s="7" customFormat="1" x14ac:dyDescent="0.25">
      <c r="A182"/>
      <c r="B182"/>
      <c r="C182" s="7" t="str">
        <f t="shared" ca="1" si="8"/>
        <v/>
      </c>
      <c r="D182" s="7" t="str">
        <f ca="1">IF(E182="","",INT(SUM($E$2:E182)))</f>
        <v/>
      </c>
      <c r="E182" t="str">
        <f ca="1">IF(SUM($E$2:E181)&lt;$B$6,invexp($B$4),"")</f>
        <v/>
      </c>
      <c r="F182"/>
      <c r="G182" t="str">
        <f ca="1">IF(E182="","",invexp($B$5))</f>
        <v/>
      </c>
      <c r="H182" t="str">
        <f ca="1">IF(H181="","",IF(H181&lt;0,"",IF(E182="","",$B$1+D182*$B$7-SUM($G$2:G182))))</f>
        <v/>
      </c>
      <c r="I182" s="7">
        <f t="shared" ca="1" si="9"/>
        <v>0</v>
      </c>
      <c r="J182" s="7" t="str">
        <f t="shared" ca="1" si="10"/>
        <v/>
      </c>
      <c r="K182" s="7" t="str">
        <f t="shared" ca="1" si="11"/>
        <v/>
      </c>
      <c r="L182" s="7" t="str">
        <f ca="1">IF(J182="","",SUM($J$2:J182))</f>
        <v/>
      </c>
    </row>
    <row r="183" spans="1:12" s="7" customFormat="1" x14ac:dyDescent="0.25">
      <c r="A183"/>
      <c r="B183"/>
      <c r="C183" s="7" t="str">
        <f t="shared" ca="1" si="8"/>
        <v/>
      </c>
      <c r="D183" s="7" t="str">
        <f ca="1">IF(E183="","",INT(SUM($E$2:E183)))</f>
        <v/>
      </c>
      <c r="E183" t="str">
        <f ca="1">IF(SUM($E$2:E182)&lt;$B$6,invexp($B$4),"")</f>
        <v/>
      </c>
      <c r="F183"/>
      <c r="G183" t="str">
        <f ca="1">IF(E183="","",invexp($B$5))</f>
        <v/>
      </c>
      <c r="H183" t="str">
        <f ca="1">IF(H182="","",IF(H182&lt;0,"",IF(E183="","",$B$1+D183*$B$7-SUM($G$2:G183))))</f>
        <v/>
      </c>
      <c r="I183" s="7">
        <f t="shared" ca="1" si="9"/>
        <v>0</v>
      </c>
      <c r="J183" s="7" t="str">
        <f t="shared" ca="1" si="10"/>
        <v/>
      </c>
      <c r="K183" s="7" t="str">
        <f t="shared" ca="1" si="11"/>
        <v/>
      </c>
      <c r="L183" s="7" t="str">
        <f ca="1">IF(J183="","",SUM($J$2:J183))</f>
        <v/>
      </c>
    </row>
    <row r="184" spans="1:12" s="7" customFormat="1" x14ac:dyDescent="0.25">
      <c r="A184"/>
      <c r="B184"/>
      <c r="C184" s="7" t="str">
        <f t="shared" ca="1" si="8"/>
        <v/>
      </c>
      <c r="D184" s="7" t="str">
        <f ca="1">IF(E184="","",INT(SUM($E$2:E184)))</f>
        <v/>
      </c>
      <c r="E184" t="str">
        <f ca="1">IF(SUM($E$2:E183)&lt;$B$6,invexp($B$4),"")</f>
        <v/>
      </c>
      <c r="F184"/>
      <c r="G184" t="str">
        <f ca="1">IF(E184="","",invexp($B$5))</f>
        <v/>
      </c>
      <c r="H184" t="str">
        <f ca="1">IF(H183="","",IF(H183&lt;0,"",IF(E184="","",$B$1+D184*$B$7-SUM($G$2:G184))))</f>
        <v/>
      </c>
      <c r="I184" s="7">
        <f t="shared" ca="1" si="9"/>
        <v>0</v>
      </c>
      <c r="J184" s="7" t="str">
        <f t="shared" ca="1" si="10"/>
        <v/>
      </c>
      <c r="K184" s="7" t="str">
        <f t="shared" ca="1" si="11"/>
        <v/>
      </c>
      <c r="L184" s="7" t="str">
        <f ca="1">IF(J184="","",SUM($J$2:J184))</f>
        <v/>
      </c>
    </row>
    <row r="185" spans="1:12" s="7" customFormat="1" x14ac:dyDescent="0.25">
      <c r="A185"/>
      <c r="B185"/>
      <c r="C185" s="7" t="str">
        <f t="shared" ca="1" si="8"/>
        <v/>
      </c>
      <c r="D185" s="7" t="str">
        <f ca="1">IF(E185="","",INT(SUM($E$2:E185)))</f>
        <v/>
      </c>
      <c r="E185" t="str">
        <f ca="1">IF(SUM($E$2:E184)&lt;$B$6,invexp($B$4),"")</f>
        <v/>
      </c>
      <c r="F185"/>
      <c r="G185" t="str">
        <f ca="1">IF(E185="","",invexp($B$5))</f>
        <v/>
      </c>
      <c r="H185" t="str">
        <f ca="1">IF(H184="","",IF(H184&lt;0,"",IF(E185="","",$B$1+D185*$B$7-SUM($G$2:G185))))</f>
        <v/>
      </c>
      <c r="I185" s="7">
        <f t="shared" ca="1" si="9"/>
        <v>0</v>
      </c>
      <c r="J185" s="7" t="str">
        <f t="shared" ca="1" si="10"/>
        <v/>
      </c>
      <c r="K185" s="7" t="str">
        <f t="shared" ca="1" si="11"/>
        <v/>
      </c>
      <c r="L185" s="7" t="str">
        <f ca="1">IF(J185="","",SUM($J$2:J185))</f>
        <v/>
      </c>
    </row>
    <row r="186" spans="1:12" s="7" customFormat="1" x14ac:dyDescent="0.25">
      <c r="A186"/>
      <c r="B186"/>
      <c r="C186" s="7" t="str">
        <f t="shared" ca="1" si="8"/>
        <v/>
      </c>
      <c r="D186" s="7" t="str">
        <f ca="1">IF(E186="","",INT(SUM($E$2:E186)))</f>
        <v/>
      </c>
      <c r="E186" t="str">
        <f ca="1">IF(SUM($E$2:E185)&lt;$B$6,invexp($B$4),"")</f>
        <v/>
      </c>
      <c r="F186"/>
      <c r="G186" t="str">
        <f ca="1">IF(E186="","",invexp($B$5))</f>
        <v/>
      </c>
      <c r="H186" t="str">
        <f ca="1">IF(H185="","",IF(H185&lt;0,"",IF(E186="","",$B$1+D186*$B$7-SUM($G$2:G186))))</f>
        <v/>
      </c>
      <c r="I186" s="7">
        <f t="shared" ca="1" si="9"/>
        <v>0</v>
      </c>
      <c r="J186" s="7" t="str">
        <f t="shared" ca="1" si="10"/>
        <v/>
      </c>
      <c r="K186" s="7" t="str">
        <f t="shared" ca="1" si="11"/>
        <v/>
      </c>
      <c r="L186" s="7" t="str">
        <f ca="1">IF(J186="","",SUM($J$2:J186))</f>
        <v/>
      </c>
    </row>
    <row r="187" spans="1:12" s="7" customFormat="1" x14ac:dyDescent="0.25">
      <c r="A187"/>
      <c r="B187"/>
      <c r="C187" s="7" t="str">
        <f t="shared" ca="1" si="8"/>
        <v/>
      </c>
      <c r="D187" s="7" t="str">
        <f ca="1">IF(E187="","",INT(SUM($E$2:E187)))</f>
        <v/>
      </c>
      <c r="E187" t="str">
        <f ca="1">IF(SUM($E$2:E186)&lt;$B$6,invexp($B$4),"")</f>
        <v/>
      </c>
      <c r="F187"/>
      <c r="G187" t="str">
        <f ca="1">IF(E187="","",invexp($B$5))</f>
        <v/>
      </c>
      <c r="H187" t="str">
        <f ca="1">IF(H186="","",IF(H186&lt;0,"",IF(E187="","",$B$1+D187*$B$7-SUM($G$2:G187))))</f>
        <v/>
      </c>
      <c r="I187" s="7">
        <f t="shared" ca="1" si="9"/>
        <v>0</v>
      </c>
      <c r="J187" s="7" t="str">
        <f t="shared" ca="1" si="10"/>
        <v/>
      </c>
      <c r="K187" s="7" t="str">
        <f t="shared" ca="1" si="11"/>
        <v/>
      </c>
      <c r="L187" s="7" t="str">
        <f ca="1">IF(J187="","",SUM($J$2:J187))</f>
        <v/>
      </c>
    </row>
    <row r="188" spans="1:12" s="7" customFormat="1" x14ac:dyDescent="0.25">
      <c r="A188"/>
      <c r="B188"/>
      <c r="C188" s="7" t="str">
        <f t="shared" ca="1" si="8"/>
        <v/>
      </c>
      <c r="D188" s="7" t="str">
        <f ca="1">IF(E188="","",INT(SUM($E$2:E188)))</f>
        <v/>
      </c>
      <c r="E188" t="str">
        <f ca="1">IF(SUM($E$2:E187)&lt;$B$6,invexp($B$4),"")</f>
        <v/>
      </c>
      <c r="F188"/>
      <c r="G188" t="str">
        <f ca="1">IF(E188="","",invexp($B$5))</f>
        <v/>
      </c>
      <c r="H188" t="str">
        <f ca="1">IF(H187="","",IF(H187&lt;0,"",IF(E188="","",$B$1+D188*$B$7-SUM($G$2:G188))))</f>
        <v/>
      </c>
      <c r="I188" s="7">
        <f t="shared" ca="1" si="9"/>
        <v>0</v>
      </c>
      <c r="J188" s="7" t="str">
        <f t="shared" ca="1" si="10"/>
        <v/>
      </c>
      <c r="K188" s="7" t="str">
        <f t="shared" ca="1" si="11"/>
        <v/>
      </c>
      <c r="L188" s="7" t="str">
        <f ca="1">IF(J188="","",SUM($J$2:J188))</f>
        <v/>
      </c>
    </row>
    <row r="189" spans="1:12" s="7" customFormat="1" x14ac:dyDescent="0.25">
      <c r="A189"/>
      <c r="B189"/>
      <c r="C189" s="7" t="str">
        <f t="shared" ca="1" si="8"/>
        <v/>
      </c>
      <c r="D189" s="7" t="str">
        <f ca="1">IF(E189="","",INT(SUM($E$2:E189)))</f>
        <v/>
      </c>
      <c r="E189" t="str">
        <f ca="1">IF(SUM($E$2:E188)&lt;$B$6,invexp($B$4),"")</f>
        <v/>
      </c>
      <c r="F189"/>
      <c r="G189" t="str">
        <f ca="1">IF(E189="","",invexp($B$5))</f>
        <v/>
      </c>
      <c r="H189" t="str">
        <f ca="1">IF(H188="","",IF(H188&lt;0,"",IF(E189="","",$B$1+D189*$B$7-SUM($G$2:G189))))</f>
        <v/>
      </c>
      <c r="I189" s="7">
        <f t="shared" ca="1" si="9"/>
        <v>0</v>
      </c>
      <c r="J189" s="7" t="str">
        <f t="shared" ca="1" si="10"/>
        <v/>
      </c>
      <c r="K189" s="7" t="str">
        <f t="shared" ca="1" si="11"/>
        <v/>
      </c>
      <c r="L189" s="7" t="str">
        <f ca="1">IF(J189="","",SUM($J$2:J189))</f>
        <v/>
      </c>
    </row>
    <row r="190" spans="1:12" s="7" customFormat="1" x14ac:dyDescent="0.25">
      <c r="A190"/>
      <c r="B190"/>
      <c r="C190" s="7" t="str">
        <f t="shared" ca="1" si="8"/>
        <v/>
      </c>
      <c r="D190" s="7" t="str">
        <f ca="1">IF(E190="","",INT(SUM($E$2:E190)))</f>
        <v/>
      </c>
      <c r="E190" t="str">
        <f ca="1">IF(SUM($E$2:E189)&lt;$B$6,invexp($B$4),"")</f>
        <v/>
      </c>
      <c r="F190"/>
      <c r="G190" t="str">
        <f ca="1">IF(E190="","",invexp($B$5))</f>
        <v/>
      </c>
      <c r="H190" t="str">
        <f ca="1">IF(H189="","",IF(H189&lt;0,"",IF(E190="","",$B$1+D190*$B$7-SUM($G$2:G190))))</f>
        <v/>
      </c>
      <c r="I190" s="7">
        <f t="shared" ca="1" si="9"/>
        <v>0</v>
      </c>
      <c r="J190" s="7" t="str">
        <f t="shared" ca="1" si="10"/>
        <v/>
      </c>
      <c r="K190" s="7" t="str">
        <f t="shared" ca="1" si="11"/>
        <v/>
      </c>
      <c r="L190" s="7" t="str">
        <f ca="1">IF(J190="","",SUM($J$2:J190))</f>
        <v/>
      </c>
    </row>
    <row r="191" spans="1:12" s="7" customFormat="1" x14ac:dyDescent="0.25">
      <c r="A191"/>
      <c r="B191"/>
      <c r="C191" s="7" t="str">
        <f t="shared" ca="1" si="8"/>
        <v/>
      </c>
      <c r="D191" s="7" t="str">
        <f ca="1">IF(E191="","",INT(SUM($E$2:E191)))</f>
        <v/>
      </c>
      <c r="E191" t="str">
        <f ca="1">IF(SUM($E$2:E190)&lt;$B$6,invexp($B$4),"")</f>
        <v/>
      </c>
      <c r="F191"/>
      <c r="G191" t="str">
        <f ca="1">IF(E191="","",invexp($B$5))</f>
        <v/>
      </c>
      <c r="H191" t="str">
        <f ca="1">IF(H190="","",IF(H190&lt;0,"",IF(E191="","",$B$1+D191*$B$7-SUM($G$2:G191))))</f>
        <v/>
      </c>
      <c r="I191" s="7">
        <f t="shared" ca="1" si="9"/>
        <v>0</v>
      </c>
      <c r="J191" s="7" t="str">
        <f t="shared" ca="1" si="10"/>
        <v/>
      </c>
      <c r="K191" s="7" t="str">
        <f t="shared" ca="1" si="11"/>
        <v/>
      </c>
      <c r="L191" s="7" t="str">
        <f ca="1">IF(J191="","",SUM($J$2:J191))</f>
        <v/>
      </c>
    </row>
    <row r="192" spans="1:12" s="7" customFormat="1" x14ac:dyDescent="0.25">
      <c r="A192"/>
      <c r="B192"/>
      <c r="C192" s="7" t="str">
        <f t="shared" ca="1" si="8"/>
        <v/>
      </c>
      <c r="D192" s="7" t="str">
        <f ca="1">IF(E192="","",INT(SUM($E$2:E192)))</f>
        <v/>
      </c>
      <c r="E192" t="str">
        <f ca="1">IF(SUM($E$2:E191)&lt;$B$6,invexp($B$4),"")</f>
        <v/>
      </c>
      <c r="F192"/>
      <c r="G192" t="str">
        <f ca="1">IF(E192="","",invexp($B$5))</f>
        <v/>
      </c>
      <c r="H192" t="str">
        <f ca="1">IF(H191="","",IF(H191&lt;0,"",IF(E192="","",$B$1+D192*$B$7-SUM($G$2:G192))))</f>
        <v/>
      </c>
      <c r="I192" s="7">
        <f t="shared" ca="1" si="9"/>
        <v>0</v>
      </c>
      <c r="J192" s="7" t="str">
        <f t="shared" ca="1" si="10"/>
        <v/>
      </c>
      <c r="K192" s="7" t="str">
        <f t="shared" ca="1" si="11"/>
        <v/>
      </c>
      <c r="L192" s="7" t="str">
        <f ca="1">IF(J192="","",SUM($J$2:J192))</f>
        <v/>
      </c>
    </row>
    <row r="193" spans="1:12" s="7" customFormat="1" x14ac:dyDescent="0.25">
      <c r="A193"/>
      <c r="B193"/>
      <c r="C193" s="7" t="str">
        <f t="shared" ca="1" si="8"/>
        <v/>
      </c>
      <c r="D193" s="7" t="str">
        <f ca="1">IF(E193="","",INT(SUM($E$2:E193)))</f>
        <v/>
      </c>
      <c r="E193" t="str">
        <f ca="1">IF(SUM($E$2:E192)&lt;$B$6,invexp($B$4),"")</f>
        <v/>
      </c>
      <c r="F193"/>
      <c r="G193" t="str">
        <f ca="1">IF(E193="","",invexp($B$5))</f>
        <v/>
      </c>
      <c r="H193" t="str">
        <f ca="1">IF(H192="","",IF(H192&lt;0,"",IF(E193="","",$B$1+D193*$B$7-SUM($G$2:G193))))</f>
        <v/>
      </c>
      <c r="I193" s="7">
        <f t="shared" ca="1" si="9"/>
        <v>0</v>
      </c>
      <c r="J193" s="7" t="str">
        <f t="shared" ca="1" si="10"/>
        <v/>
      </c>
      <c r="K193" s="7" t="str">
        <f t="shared" ca="1" si="11"/>
        <v/>
      </c>
      <c r="L193" s="7" t="str">
        <f ca="1">IF(J193="","",SUM($J$2:J193))</f>
        <v/>
      </c>
    </row>
    <row r="194" spans="1:12" s="7" customFormat="1" x14ac:dyDescent="0.25">
      <c r="A194"/>
      <c r="B194"/>
      <c r="C194" s="7" t="str">
        <f t="shared" ca="1" si="8"/>
        <v/>
      </c>
      <c r="D194" s="7" t="str">
        <f ca="1">IF(E194="","",INT(SUM($E$2:E194)))</f>
        <v/>
      </c>
      <c r="E194" t="str">
        <f ca="1">IF(SUM($E$2:E193)&lt;$B$6,invexp($B$4),"")</f>
        <v/>
      </c>
      <c r="F194"/>
      <c r="G194" t="str">
        <f ca="1">IF(E194="","",invexp($B$5))</f>
        <v/>
      </c>
      <c r="H194" t="str">
        <f ca="1">IF(H193="","",IF(H193&lt;0,"",IF(E194="","",$B$1+D194*$B$7-SUM($G$2:G194))))</f>
        <v/>
      </c>
      <c r="I194" s="7">
        <f t="shared" ca="1" si="9"/>
        <v>0</v>
      </c>
      <c r="J194" s="7" t="str">
        <f t="shared" ca="1" si="10"/>
        <v/>
      </c>
      <c r="K194" s="7" t="str">
        <f t="shared" ca="1" si="11"/>
        <v/>
      </c>
      <c r="L194" s="7" t="str">
        <f ca="1">IF(J194="","",SUM($J$2:J194))</f>
        <v/>
      </c>
    </row>
    <row r="195" spans="1:12" s="7" customFormat="1" x14ac:dyDescent="0.25">
      <c r="A195"/>
      <c r="B195"/>
      <c r="C195" s="7" t="str">
        <f t="shared" ref="C195:C199" ca="1" si="12">L195</f>
        <v/>
      </c>
      <c r="D195" s="7" t="str">
        <f ca="1">IF(E195="","",INT(SUM($E$2:E195)))</f>
        <v/>
      </c>
      <c r="E195" t="str">
        <f ca="1">IF(SUM($E$2:E194)&lt;$B$6,invexp($B$4),"")</f>
        <v/>
      </c>
      <c r="F195"/>
      <c r="G195" t="str">
        <f ca="1">IF(E195="","",invexp($B$5))</f>
        <v/>
      </c>
      <c r="H195" t="str">
        <f ca="1">IF(H194="","",IF(H194&lt;0,"",IF(E195="","",$B$1+D195*$B$7-SUM($G$2:G195))))</f>
        <v/>
      </c>
      <c r="I195" s="7">
        <f t="shared" ref="I195:I199" ca="1" si="13">IF(H195&lt;-$B$2,1,0)</f>
        <v>0</v>
      </c>
      <c r="J195" s="7" t="str">
        <f t="shared" ref="J195:J199" ca="1" si="14">IF(H195="","",E195)</f>
        <v/>
      </c>
      <c r="K195" s="7" t="str">
        <f t="shared" ref="K195:K199" ca="1" si="15">IF(H195="","",G195)</f>
        <v/>
      </c>
      <c r="L195" s="7" t="str">
        <f ca="1">IF(J195="","",SUM($J$2:J195))</f>
        <v/>
      </c>
    </row>
    <row r="196" spans="1:12" s="7" customFormat="1" x14ac:dyDescent="0.25">
      <c r="A196"/>
      <c r="B196"/>
      <c r="C196" s="7" t="str">
        <f t="shared" ca="1" si="12"/>
        <v/>
      </c>
      <c r="D196" s="7" t="str">
        <f ca="1">IF(E196="","",INT(SUM($E$2:E196)))</f>
        <v/>
      </c>
      <c r="E196" t="str">
        <f ca="1">IF(SUM($E$2:E195)&lt;$B$6,invexp($B$4),"")</f>
        <v/>
      </c>
      <c r="F196"/>
      <c r="G196" t="str">
        <f ca="1">IF(E196="","",invexp($B$5))</f>
        <v/>
      </c>
      <c r="H196" t="str">
        <f ca="1">IF(H195="","",IF(H195&lt;0,"",IF(E196="","",$B$1+D196*$B$7-SUM($G$2:G196))))</f>
        <v/>
      </c>
      <c r="I196" s="7">
        <f t="shared" ca="1" si="13"/>
        <v>0</v>
      </c>
      <c r="J196" s="7" t="str">
        <f t="shared" ca="1" si="14"/>
        <v/>
      </c>
      <c r="K196" s="7" t="str">
        <f t="shared" ca="1" si="15"/>
        <v/>
      </c>
      <c r="L196" s="7" t="str">
        <f ca="1">IF(J196="","",SUM($J$2:J196))</f>
        <v/>
      </c>
    </row>
    <row r="197" spans="1:12" s="7" customFormat="1" x14ac:dyDescent="0.25">
      <c r="A197"/>
      <c r="B197"/>
      <c r="C197" s="7" t="str">
        <f t="shared" ca="1" si="12"/>
        <v/>
      </c>
      <c r="D197" s="7" t="str">
        <f ca="1">IF(E197="","",INT(SUM($E$2:E197)))</f>
        <v/>
      </c>
      <c r="E197" t="str">
        <f ca="1">IF(SUM($E$2:E196)&lt;$B$6,invexp($B$4),"")</f>
        <v/>
      </c>
      <c r="F197"/>
      <c r="G197" t="str">
        <f ca="1">IF(E197="","",invexp($B$5))</f>
        <v/>
      </c>
      <c r="H197" t="str">
        <f ca="1">IF(H196="","",IF(H196&lt;0,"",IF(E197="","",$B$1+D197*$B$7-SUM($G$2:G197))))</f>
        <v/>
      </c>
      <c r="I197" s="7">
        <f t="shared" ca="1" si="13"/>
        <v>0</v>
      </c>
      <c r="J197" s="7" t="str">
        <f t="shared" ca="1" si="14"/>
        <v/>
      </c>
      <c r="K197" s="7" t="str">
        <f t="shared" ca="1" si="15"/>
        <v/>
      </c>
      <c r="L197" s="7" t="str">
        <f ca="1">IF(J197="","",SUM($J$2:J197))</f>
        <v/>
      </c>
    </row>
    <row r="198" spans="1:12" s="7" customFormat="1" x14ac:dyDescent="0.25">
      <c r="A198"/>
      <c r="B198"/>
      <c r="C198" s="7" t="str">
        <f t="shared" ca="1" si="12"/>
        <v/>
      </c>
      <c r="D198" s="7" t="str">
        <f ca="1">IF(E198="","",INT(SUM($E$2:E198)))</f>
        <v/>
      </c>
      <c r="E198" t="str">
        <f ca="1">IF(SUM($E$2:E197)&lt;$B$6,invexp($B$4),"")</f>
        <v/>
      </c>
      <c r="F198"/>
      <c r="G198" t="str">
        <f ca="1">IF(E198="","",invexp($B$5))</f>
        <v/>
      </c>
      <c r="H198" t="str">
        <f ca="1">IF(H197="","",IF(H197&lt;0,"",IF(E198="","",$B$1+D198*$B$7-SUM($G$2:G198))))</f>
        <v/>
      </c>
      <c r="I198" s="7">
        <f t="shared" ca="1" si="13"/>
        <v>0</v>
      </c>
      <c r="J198" s="7" t="str">
        <f t="shared" ca="1" si="14"/>
        <v/>
      </c>
      <c r="K198" s="7" t="str">
        <f t="shared" ca="1" si="15"/>
        <v/>
      </c>
      <c r="L198" s="7" t="str">
        <f ca="1">IF(J198="","",SUM($J$2:J198))</f>
        <v/>
      </c>
    </row>
    <row r="199" spans="1:12" s="7" customFormat="1" x14ac:dyDescent="0.25">
      <c r="A199"/>
      <c r="B199"/>
      <c r="C199" s="7" t="str">
        <f t="shared" ca="1" si="12"/>
        <v/>
      </c>
      <c r="D199" s="7" t="str">
        <f ca="1">IF(E199="","",INT(SUM($E$2:E199)))</f>
        <v/>
      </c>
      <c r="E199" t="str">
        <f ca="1">IF(SUM($E$2:E198)&lt;$B$6,invexp($B$4),"")</f>
        <v/>
      </c>
      <c r="F199"/>
      <c r="G199" t="str">
        <f ca="1">IF(E199="","",invexp($B$5))</f>
        <v/>
      </c>
      <c r="H199" t="str">
        <f ca="1">IF(H198="","",IF(H198&lt;0,"",IF(E199="","",$B$1+D199*$B$7-SUM($G$2:G199))))</f>
        <v/>
      </c>
      <c r="I199" s="7">
        <f t="shared" ca="1" si="13"/>
        <v>0</v>
      </c>
      <c r="J199" s="7" t="str">
        <f t="shared" ca="1" si="14"/>
        <v/>
      </c>
      <c r="K199" s="7" t="str">
        <f t="shared" ca="1" si="15"/>
        <v/>
      </c>
      <c r="L199" s="7" t="str">
        <f ca="1">IF(J199="","",SUM($J$2:J199))</f>
        <v/>
      </c>
    </row>
    <row r="200" spans="1:12" x14ac:dyDescent="0.25">
      <c r="E200" t="str">
        <f ca="1">IF(E199&lt;SUM($E$2:E199),invexp($B$4),"")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3" name="Button 11">
              <controlPr defaultSize="0" print="0" autoFill="0" autoPict="0" macro="[0]!procesos">
                <anchor moveWithCells="1" sizeWithCells="1">
                  <from>
                    <xdr:col>9</xdr:col>
                    <xdr:colOff>19050</xdr:colOff>
                    <xdr:row>0</xdr:row>
                    <xdr:rowOff>57150</xdr:rowOff>
                  </from>
                  <to>
                    <xdr:col>10</xdr:col>
                    <xdr:colOff>19050</xdr:colOff>
                    <xdr:row>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Abraham</dc:creator>
  <cp:lastModifiedBy>Abraham</cp:lastModifiedBy>
  <dcterms:created xsi:type="dcterms:W3CDTF">2015-06-04T01:53:58Z</dcterms:created>
  <dcterms:modified xsi:type="dcterms:W3CDTF">2015-06-04T04:42:22Z</dcterms:modified>
</cp:coreProperties>
</file>
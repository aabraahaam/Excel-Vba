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Abraham\Desktop\"/>
    </mc:Choice>
  </mc:AlternateContent>
  <bookViews>
    <workbookView xWindow="0" yWindow="0" windowWidth="20490" windowHeight="7755" activeTab="1"/>
  </bookViews>
  <sheets>
    <sheet name="Explanation" sheetId="1" r:id="rId1"/>
    <sheet name="Report" sheetId="3" r:id="rId2"/>
    <sheet name="Module1" sheetId="4" state="veryHidden" r:id=""/>
  </sheets>
  <functionGroups builtInGroupCount="18"/>
  <definedNames>
    <definedName name="_xlnm.Print_Area" localSheetId="0">Explanation!$A$1:$I$16</definedName>
    <definedName name="_xlnm.Print_Area" localSheetId="1">Report!$A$11:$I$37</definedName>
    <definedName name="ArriveRate">Report!$B$5</definedName>
    <definedName name="AvgNInQ">Report!$B$16</definedName>
    <definedName name="AvgServerUtil">Report!$B$19</definedName>
    <definedName name="AvgTimeInQ">Report!$B$14</definedName>
    <definedName name="CloseTime">Report!$B$9</definedName>
    <definedName name="FinalTime">Report!$B$12</definedName>
    <definedName name="MaxAllowedInQ">Report!$B$8</definedName>
    <definedName name="MaxNInQ">Report!$B$17</definedName>
    <definedName name="MaxTimeInQ">Report!$B$15</definedName>
    <definedName name="MeanServeTime">Report!$B$6</definedName>
    <definedName name="NInQueue">Report!$A$27:$A$33</definedName>
    <definedName name="NLost">Report!$B$22</definedName>
    <definedName name="NServed">Report!$B$21</definedName>
    <definedName name="NServers">Report!$B$7</definedName>
    <definedName name="PctLost">Report!$B$23</definedName>
    <definedName name="PctOfTime">Report!$B$27:$B$33</definedName>
    <definedName name="TimeUnit">Report!$B$4</definedName>
  </definedNames>
  <calcPr calcId="152511"/>
</workbook>
</file>

<file path=xl/calcChain.xml><?xml version="1.0" encoding="utf-8"?>
<calcChain xmlns="http://schemas.openxmlformats.org/spreadsheetml/2006/main">
  <c r="B23" i="3" l="1"/>
  <c r="E9" i="3"/>
  <c r="C5" i="3"/>
  <c r="C15" i="3"/>
  <c r="C14" i="3"/>
  <c r="C12" i="3"/>
  <c r="C9" i="3"/>
  <c r="C6" i="3"/>
</calcChain>
</file>

<file path=xl/sharedStrings.xml><?xml version="1.0" encoding="utf-8"?>
<sst xmlns="http://schemas.openxmlformats.org/spreadsheetml/2006/main" count="23" uniqueCount="23">
  <si>
    <t>Multiserver Queueing System</t>
  </si>
  <si>
    <t>Inputs</t>
  </si>
  <si>
    <t>Number of servers</t>
  </si>
  <si>
    <t>Maximum allowed in queue</t>
  </si>
  <si>
    <t>Measure of system congestion</t>
  </si>
  <si>
    <t>Unidad de tiempo</t>
  </si>
  <si>
    <t>Tasa de llegada de los clientes</t>
  </si>
  <si>
    <t>Tiempo promedio de servicio</t>
  </si>
  <si>
    <t>Tiempo de simulacion</t>
  </si>
  <si>
    <t>Lineas de espera</t>
  </si>
  <si>
    <t>Intensidad del sistema</t>
  </si>
  <si>
    <t>minuto</t>
  </si>
  <si>
    <t>Resultados de la simulacion</t>
  </si>
  <si>
    <t>Tiempo en el que se va el ultimo cliente</t>
  </si>
  <si>
    <t>Tiempo promedio en la linea</t>
  </si>
  <si>
    <t>Tiempo maximo en la linea por un cliente</t>
  </si>
  <si>
    <t>Numero promedio de clientes en la linea</t>
  </si>
  <si>
    <t>Numero maximo de clientes en la linea</t>
  </si>
  <si>
    <t>Tiempo en el que el servidor esta ocupado</t>
  </si>
  <si>
    <t>Numero de clientes atendidos</t>
  </si>
  <si>
    <t>Distribucion de clientes en la fila</t>
  </si>
  <si>
    <t>Numero en la fila</t>
  </si>
  <si>
    <t>% del tiempo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</si>
</sst>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9" x14ac:knownFonts="1">
    <font>
      <sz val="10"/>
      <name val="Arial"/>
    </font>
    <font>
      <sz val="10"/>
      <name val="Arial"/>
      <family val="2"/>
    </font>
    <font>
      <sz val="11"/>
      <name val="Calibri"/>
      <family val="2"/>
      <scheme val="minor"/>
    </font>
    <font>
      <b/>
      <sz val="11"/>
      <name val="Calibri"/>
      <family val="2"/>
      <scheme val="minor"/>
    </font>
    <font>
      <b/>
      <sz val="11"/>
      <color indexed="10"/>
      <name val="Calibri"/>
      <family val="2"/>
      <scheme val="minor"/>
    </font>
    <font>
      <b/>
      <sz val="14"/>
      <name val="Calibri"/>
      <family val="2"/>
      <scheme val="minor"/>
    </font>
    <font>
      <sz val="11"/>
      <color indexed="8"/>
      <name val="Calibri"/>
      <family val="2"/>
      <scheme val="minor"/>
    </font>
    <font>
      <sz val="11"/>
      <name val="Calibri"/>
      <family val="2"/>
    </font>
    <font>
      <sz val="11"/>
      <color theme="0"/>
      <name val="Calibri"/>
      <family val="2"/>
      <scheme val="minor"/>
    </font>
  </fonts>
  <fills count="3">
    <fill>
      <patternFill patternType="none"/>
    </fill>
    <fill>
      <patternFill patternType="gray125"/>
    </fill>
    <fill>
      <patternFill patternType="solid">
        <fgColor theme="4" tint="0.599963377788628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2" fillId="0" borderId="0" xfId="0" applyFont="1" applyFill="1"/>
    <xf numFmtId="0" fontId="4" fillId="0" borderId="0" xfId="0" applyFont="1" applyFill="1" applyAlignment="1">
      <alignment horizontal="centerContinuous"/>
    </xf>
    <xf numFmtId="0" fontId="2" fillId="0" borderId="0" xfId="0" applyFont="1" applyFill="1" applyAlignment="1">
      <alignment horizontal="centerContinuous"/>
    </xf>
    <xf numFmtId="0" fontId="3" fillId="0" borderId="0" xfId="0" applyFont="1" applyFill="1"/>
    <xf numFmtId="0" fontId="3" fillId="0" borderId="0" xfId="0" applyFont="1" applyFill="1" applyProtection="1">
      <protection locked="0"/>
    </xf>
    <xf numFmtId="0" fontId="2" fillId="0" borderId="0" xfId="0" applyFont="1" applyFill="1" applyProtection="1">
      <protection locked="0"/>
    </xf>
    <xf numFmtId="0" fontId="2" fillId="2" borderId="0" xfId="0" applyFont="1" applyFill="1" applyBorder="1" applyAlignment="1" applyProtection="1">
      <alignment horizontal="right"/>
    </xf>
    <xf numFmtId="0" fontId="2" fillId="0" borderId="0" xfId="0" applyFont="1" applyFill="1" applyBorder="1" applyProtection="1"/>
    <xf numFmtId="165" fontId="2" fillId="2" borderId="0" xfId="0" applyNumberFormat="1" applyFont="1" applyFill="1" applyBorder="1" applyAlignment="1" applyProtection="1">
      <alignment horizontal="right"/>
    </xf>
    <xf numFmtId="1" fontId="2" fillId="2" borderId="0" xfId="0" applyNumberFormat="1" applyFont="1" applyFill="1" applyBorder="1" applyAlignment="1" applyProtection="1">
      <alignment horizontal="right"/>
    </xf>
    <xf numFmtId="0" fontId="2" fillId="0" borderId="0" xfId="0" applyFont="1" applyFill="1" applyAlignment="1" applyProtection="1">
      <alignment vertical="center"/>
      <protection locked="0"/>
    </xf>
    <xf numFmtId="2" fontId="6" fillId="0" borderId="0" xfId="0" applyNumberFormat="1" applyFont="1" applyFill="1" applyAlignment="1" applyProtection="1">
      <alignment horizontal="right" wrapText="1"/>
      <protection locked="0"/>
    </xf>
    <xf numFmtId="0" fontId="4" fillId="0" borderId="0" xfId="0" applyFont="1" applyFill="1" applyAlignment="1" applyProtection="1">
      <alignment horizontal="right" wrapText="1"/>
      <protection locked="0"/>
    </xf>
    <xf numFmtId="4" fontId="2" fillId="0" borderId="0" xfId="0" applyNumberFormat="1" applyFont="1" applyFill="1" applyProtection="1">
      <protection locked="0"/>
    </xf>
    <xf numFmtId="2" fontId="2" fillId="0" borderId="0" xfId="0" applyNumberFormat="1" applyFont="1" applyFill="1" applyAlignment="1" applyProtection="1">
      <protection locked="0"/>
    </xf>
    <xf numFmtId="2" fontId="2" fillId="0" borderId="0" xfId="0" applyNumberFormat="1" applyFont="1" applyFill="1" applyProtection="1">
      <protection locked="0"/>
    </xf>
    <xf numFmtId="1" fontId="2" fillId="0" borderId="0" xfId="0" applyNumberFormat="1" applyFont="1" applyFill="1" applyProtection="1">
      <protection locked="0"/>
    </xf>
    <xf numFmtId="164" fontId="2" fillId="0" borderId="0" xfId="1" applyNumberFormat="1" applyFont="1" applyFill="1" applyProtection="1">
      <protection locked="0"/>
    </xf>
    <xf numFmtId="10" fontId="2" fillId="0" borderId="0" xfId="0" applyNumberFormat="1" applyFont="1" applyFill="1" applyProtection="1">
      <protection locked="0"/>
    </xf>
    <xf numFmtId="0" fontId="2" fillId="0" borderId="0" xfId="0" applyFont="1" applyFill="1" applyAlignment="1" applyProtection="1">
      <alignment horizontal="right" wrapText="1"/>
      <protection locked="0"/>
    </xf>
    <xf numFmtId="0" fontId="2" fillId="0" borderId="0" xfId="0" applyFont="1" applyFill="1" applyAlignment="1" applyProtection="1">
      <alignment horizontal="right"/>
      <protection locked="0"/>
    </xf>
    <xf numFmtId="10" fontId="2" fillId="0" borderId="0" xfId="1" applyNumberFormat="1" applyFont="1" applyFill="1" applyProtection="1">
      <protection locked="0"/>
    </xf>
    <xf numFmtId="0" fontId="5" fillId="0" borderId="0" xfId="0" applyFont="1" applyFill="1" applyAlignment="1">
      <alignment horizontal="center"/>
    </xf>
    <xf numFmtId="0" fontId="8" fillId="0" borderId="0" xfId="0" applyFont="1" applyFill="1" applyAlignment="1" applyProtection="1">
      <alignment horizontal="right" wrapText="1"/>
      <protection locked="0"/>
    </xf>
    <xf numFmtId="164" fontId="8" fillId="0" borderId="0" xfId="1" applyNumberFormat="1" applyFont="1" applyFill="1" applyAlignment="1" applyProtection="1">
      <alignment horizontal="right" wrapText="1"/>
      <protection locked="0"/>
    </xf>
  </cellXfs>
  <cellStyles count="2">
    <cellStyle name="Normal" xfId="0" builtinId="0"/>
    <cellStyle name="Porcentaje"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Distribucion</a:t>
            </a:r>
            <a:r>
              <a:rPr lang="en-US" sz="1400" baseline="0"/>
              <a:t> del numero en la fila</a:t>
            </a:r>
            <a:endParaRPr lang="en-US" sz="1400"/>
          </a:p>
        </c:rich>
      </c:tx>
      <c:layout/>
      <c:overlay val="0"/>
    </c:title>
    <c:autoTitleDeleted val="0"/>
    <c:plotArea>
      <c:layout/>
      <c:barChart>
        <c:barDir val="col"/>
        <c:grouping val="clustered"/>
        <c:varyColors val="0"/>
        <c:ser>
          <c:idx val="1"/>
          <c:order val="0"/>
          <c:tx>
            <c:strRef>
              <c:f>Report!$B$26</c:f>
              <c:strCache>
                <c:ptCount val="1"/>
                <c:pt idx="0">
                  <c:v>% del tiempo</c:v>
                </c:pt>
              </c:strCache>
            </c:strRef>
          </c:tx>
          <c:spPr>
            <a:solidFill>
              <a:schemeClr val="accent1">
                <a:lumMod val="60000"/>
                <a:lumOff val="40000"/>
              </a:schemeClr>
            </a:solidFill>
            <a:ln>
              <a:solidFill>
                <a:schemeClr val="accent1">
                  <a:lumMod val="60000"/>
                  <a:lumOff val="40000"/>
                </a:schemeClr>
              </a:solidFill>
            </a:ln>
          </c:spPr>
          <c:invertIfNegative val="0"/>
          <c:cat>
            <c:numRef>
              <c:f>Report!$A$27:$A$33</c:f>
              <c:numCache>
                <c:formatCode>General</c:formatCode>
                <c:ptCount val="7"/>
                <c:pt idx="0">
                  <c:v>0</c:v>
                </c:pt>
                <c:pt idx="1">
                  <c:v>1</c:v>
                </c:pt>
                <c:pt idx="2">
                  <c:v>2</c:v>
                </c:pt>
                <c:pt idx="3">
                  <c:v>3</c:v>
                </c:pt>
                <c:pt idx="4">
                  <c:v>4</c:v>
                </c:pt>
                <c:pt idx="5">
                  <c:v>5</c:v>
                </c:pt>
                <c:pt idx="6">
                  <c:v>6</c:v>
                </c:pt>
              </c:numCache>
            </c:numRef>
          </c:cat>
          <c:val>
            <c:numRef>
              <c:f>Report!$B$27:$B$33</c:f>
              <c:numCache>
                <c:formatCode>0.00%</c:formatCode>
                <c:ptCount val="7"/>
                <c:pt idx="0">
                  <c:v>0.90098726749420166</c:v>
                </c:pt>
                <c:pt idx="1">
                  <c:v>7.1546114981174469E-2</c:v>
                </c:pt>
                <c:pt idx="2">
                  <c:v>1.9390227273106575E-2</c:v>
                </c:pt>
                <c:pt idx="3">
                  <c:v>4.2938641272485256E-3</c:v>
                </c:pt>
                <c:pt idx="4">
                  <c:v>2.442086348310113E-3</c:v>
                </c:pt>
                <c:pt idx="5">
                  <c:v>1.183683518320322E-3</c:v>
                </c:pt>
                <c:pt idx="6">
                  <c:v>1.5678489580750465E-4</c:v>
                </c:pt>
              </c:numCache>
            </c:numRef>
          </c:val>
        </c:ser>
        <c:dLbls>
          <c:showLegendKey val="0"/>
          <c:showVal val="0"/>
          <c:showCatName val="0"/>
          <c:showSerName val="0"/>
          <c:showPercent val="0"/>
          <c:showBubbleSize val="0"/>
        </c:dLbls>
        <c:gapWidth val="150"/>
        <c:axId val="298336080"/>
        <c:axId val="298335520"/>
      </c:barChart>
      <c:catAx>
        <c:axId val="298336080"/>
        <c:scaling>
          <c:orientation val="minMax"/>
        </c:scaling>
        <c:delete val="0"/>
        <c:axPos val="b"/>
        <c:title>
          <c:tx>
            <c:rich>
              <a:bodyPr/>
              <a:lstStyle/>
              <a:p>
                <a:pPr>
                  <a:defRPr/>
                </a:pPr>
                <a:r>
                  <a:rPr lang="en-US"/>
                  <a:t># de</a:t>
                </a:r>
                <a:r>
                  <a:rPr lang="en-US" baseline="0"/>
                  <a:t> clientes</a:t>
                </a:r>
              </a:p>
            </c:rich>
          </c:tx>
          <c:layout/>
          <c:overlay val="0"/>
        </c:title>
        <c:numFmt formatCode="General" sourceLinked="1"/>
        <c:majorTickMark val="out"/>
        <c:minorTickMark val="none"/>
        <c:tickLblPos val="nextTo"/>
        <c:crossAx val="298335520"/>
        <c:crosses val="autoZero"/>
        <c:auto val="1"/>
        <c:lblAlgn val="ctr"/>
        <c:lblOffset val="100"/>
        <c:noMultiLvlLbl val="0"/>
      </c:catAx>
      <c:valAx>
        <c:axId val="298335520"/>
        <c:scaling>
          <c:orientation val="minMax"/>
        </c:scaling>
        <c:delete val="0"/>
        <c:axPos val="l"/>
        <c:majorGridlines>
          <c:spPr>
            <a:ln>
              <a:solidFill>
                <a:schemeClr val="bg1">
                  <a:lumMod val="85000"/>
                </a:schemeClr>
              </a:solidFill>
            </a:ln>
          </c:spPr>
        </c:majorGridlines>
        <c:title>
          <c:tx>
            <c:rich>
              <a:bodyPr rot="-5400000" vert="horz"/>
              <a:lstStyle/>
              <a:p>
                <a:pPr>
                  <a:defRPr/>
                </a:pPr>
                <a:r>
                  <a:rPr lang="en-US"/>
                  <a:t>Porcenraje</a:t>
                </a:r>
                <a:r>
                  <a:rPr lang="en-US" baseline="0"/>
                  <a:t> de tiempo</a:t>
                </a:r>
                <a:endParaRPr lang="en-US"/>
              </a:p>
            </c:rich>
          </c:tx>
          <c:layout/>
          <c:overlay val="0"/>
        </c:title>
        <c:numFmt formatCode="0.00%" sourceLinked="1"/>
        <c:majorTickMark val="out"/>
        <c:minorTickMark val="none"/>
        <c:tickLblPos val="nextTo"/>
        <c:crossAx val="298336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15875</xdr:colOff>
      <xdr:row>5</xdr:row>
      <xdr:rowOff>117475</xdr:rowOff>
    </xdr:from>
    <xdr:to>
      <xdr:col>8</xdr:col>
      <xdr:colOff>79375</xdr:colOff>
      <xdr:row>14</xdr:row>
      <xdr:rowOff>95250</xdr:rowOff>
    </xdr:to>
    <xdr:sp macro="" textlink="">
      <xdr:nvSpPr>
        <xdr:cNvPr id="3" name="TextBox 2"/>
        <xdr:cNvSpPr txBox="1"/>
      </xdr:nvSpPr>
      <xdr:spPr>
        <a:xfrm>
          <a:off x="625475" y="1117600"/>
          <a:ext cx="4330700" cy="1692275"/>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This application simulates a multiserver queueing system, such as at a bank, where arriving customers wait in a single line for the first available server. The system starts "empty and idle" and runs for a user-specified amount of time. The user specifies the arrival rate, the mean service time per customer, the number of (identical) servers, and the maximum number of customers allowed in the queue. (If a customer arrives when the system is full, this customer leaves.) The user also specifies the "closing" time. At this time, no further arrivals are permitted, but the customers already in the system are served.</a:t>
          </a:r>
        </a:p>
      </xdr:txBody>
    </xdr:sp>
    <xdr:clientData/>
  </xdr:twoCellAnchor>
  <mc:AlternateContent xmlns:mc="http://schemas.openxmlformats.org/markup-compatibility/2006">
    <mc:Choice xmlns:a14="http://schemas.microsoft.com/office/drawing/2010/main" Requires="a14">
      <xdr:twoCellAnchor>
        <xdr:from>
          <xdr:col>3</xdr:col>
          <xdr:colOff>171450</xdr:colOff>
          <xdr:row>2</xdr:row>
          <xdr:rowOff>161925</xdr:rowOff>
        </xdr:from>
        <xdr:to>
          <xdr:col>5</xdr:col>
          <xdr:colOff>466725</xdr:colOff>
          <xdr:row>4</xdr:row>
          <xdr:rowOff>57150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View/Change Inputs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6350</xdr:colOff>
      <xdr:row>0</xdr:row>
      <xdr:rowOff>6350</xdr:rowOff>
    </xdr:from>
    <xdr:to>
      <xdr:col>6</xdr:col>
      <xdr:colOff>178435</xdr:colOff>
      <xdr:row>3</xdr:row>
      <xdr:rowOff>133350</xdr:rowOff>
    </xdr:to>
    <xdr:sp macro="" textlink="">
      <xdr:nvSpPr>
        <xdr:cNvPr id="3" name="TextBox 2"/>
        <xdr:cNvSpPr txBox="1"/>
      </xdr:nvSpPr>
      <xdr:spPr>
        <a:xfrm>
          <a:off x="4711700" y="6350"/>
          <a:ext cx="3286760" cy="6985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Cambiar</a:t>
          </a:r>
          <a:r>
            <a:rPr lang="en-US" sz="1100" baseline="0"/>
            <a:t> las variables en azul</a:t>
          </a:r>
          <a:endParaRPr lang="en-US" sz="1100"/>
        </a:p>
      </xdr:txBody>
    </xdr:sp>
    <xdr:clientData/>
  </xdr:twoCellAnchor>
  <xdr:twoCellAnchor>
    <xdr:from>
      <xdr:col>2</xdr:col>
      <xdr:colOff>409575</xdr:colOff>
      <xdr:row>22</xdr:row>
      <xdr:rowOff>9525</xdr:rowOff>
    </xdr:from>
    <xdr:to>
      <xdr:col>8</xdr:col>
      <xdr:colOff>190500</xdr:colOff>
      <xdr:row>36</xdr:row>
      <xdr:rowOff>85725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47625</xdr:colOff>
          <xdr:row>10</xdr:row>
          <xdr:rowOff>57150</xdr:rowOff>
        </xdr:from>
        <xdr:to>
          <xdr:col>5</xdr:col>
          <xdr:colOff>190500</xdr:colOff>
          <xdr:row>12</xdr:row>
          <xdr:rowOff>28575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Simular </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2:H15"/>
  <sheetViews>
    <sheetView showGridLines="0" workbookViewId="0">
      <selection activeCell="F4" sqref="F4"/>
    </sheetView>
  </sheetViews>
  <sheetFormatPr baseColWidth="10" defaultColWidth="9.140625" defaultRowHeight="15" x14ac:dyDescent="0.25"/>
  <cols>
    <col min="1" max="16384" width="9.140625" style="1"/>
  </cols>
  <sheetData>
    <row r="2" spans="1:8" ht="18.75" x14ac:dyDescent="0.3">
      <c r="B2" s="23" t="s">
        <v>0</v>
      </c>
      <c r="C2" s="23"/>
      <c r="D2" s="23"/>
      <c r="E2" s="23"/>
      <c r="F2" s="23"/>
      <c r="G2" s="23"/>
      <c r="H2" s="23"/>
    </row>
    <row r="3" spans="1:8" x14ac:dyDescent="0.25">
      <c r="B3" s="2"/>
      <c r="C3" s="3"/>
      <c r="D3" s="3"/>
      <c r="E3" s="3"/>
    </row>
    <row r="4" spans="1:8" x14ac:dyDescent="0.25">
      <c r="B4" s="2"/>
      <c r="C4" s="3"/>
      <c r="D4" s="3"/>
      <c r="E4" s="3"/>
    </row>
    <row r="6" spans="1:8" x14ac:dyDescent="0.25">
      <c r="A6" s="4"/>
    </row>
    <row r="7" spans="1:8" x14ac:dyDescent="0.25">
      <c r="A7" s="4"/>
    </row>
    <row r="8" spans="1:8" x14ac:dyDescent="0.25">
      <c r="A8" s="4"/>
    </row>
    <row r="9" spans="1:8" x14ac:dyDescent="0.25">
      <c r="A9" s="4"/>
    </row>
    <row r="10" spans="1:8" x14ac:dyDescent="0.25">
      <c r="A10" s="4"/>
    </row>
    <row r="11" spans="1:8" x14ac:dyDescent="0.25">
      <c r="A11" s="4"/>
    </row>
    <row r="12" spans="1:8" x14ac:dyDescent="0.25">
      <c r="A12" s="4"/>
    </row>
    <row r="13" spans="1:8" x14ac:dyDescent="0.25">
      <c r="A13" s="4"/>
    </row>
    <row r="14" spans="1:8" x14ac:dyDescent="0.25">
      <c r="A14" s="4"/>
    </row>
    <row r="15" spans="1:8" x14ac:dyDescent="0.25">
      <c r="A15" s="4"/>
    </row>
  </sheetData>
  <mergeCells count="1">
    <mergeCell ref="B2:H2"/>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Line="0" autoPict="0" macro="[0]!ViewChangeInputs">
                <anchor moveWithCells="1" sizeWithCells="1">
                  <from>
                    <xdr:col>3</xdr:col>
                    <xdr:colOff>171450</xdr:colOff>
                    <xdr:row>2</xdr:row>
                    <xdr:rowOff>161925</xdr:rowOff>
                  </from>
                  <to>
                    <xdr:col>5</xdr:col>
                    <xdr:colOff>466725</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33"/>
  <sheetViews>
    <sheetView tabSelected="1" workbookViewId="0">
      <selection activeCell="A2" sqref="A2"/>
    </sheetView>
  </sheetViews>
  <sheetFormatPr baseColWidth="10" defaultColWidth="9.140625" defaultRowHeight="15" x14ac:dyDescent="0.25"/>
  <cols>
    <col min="1" max="1" width="40.140625" style="6" customWidth="1"/>
    <col min="2" max="2" width="10.7109375" style="22" customWidth="1"/>
    <col min="3" max="3" width="19.7109375" style="6" customWidth="1"/>
    <col min="4" max="4" width="28.42578125" style="6" bestFit="1" customWidth="1"/>
    <col min="5" max="16384" width="9.140625" style="6"/>
  </cols>
  <sheetData>
    <row r="1" spans="1:5" x14ac:dyDescent="0.25">
      <c r="A1" s="5" t="s">
        <v>9</v>
      </c>
      <c r="B1" s="6"/>
    </row>
    <row r="2" spans="1:5" x14ac:dyDescent="0.25">
      <c r="B2" s="6"/>
    </row>
    <row r="3" spans="1:5" x14ac:dyDescent="0.25">
      <c r="A3" s="5" t="s">
        <v>1</v>
      </c>
      <c r="B3" s="6"/>
    </row>
    <row r="4" spans="1:5" x14ac:dyDescent="0.25">
      <c r="A4" s="6" t="s">
        <v>5</v>
      </c>
      <c r="B4" s="7" t="s">
        <v>11</v>
      </c>
      <c r="C4" s="8"/>
    </row>
    <row r="5" spans="1:5" x14ac:dyDescent="0.25">
      <c r="A5" s="6" t="s">
        <v>6</v>
      </c>
      <c r="B5" s="9">
        <v>3</v>
      </c>
      <c r="C5" s="8" t="str">
        <f>"   clientes/"&amp;TimeUnit</f>
        <v xml:space="preserve">   clientes/minuto</v>
      </c>
    </row>
    <row r="6" spans="1:5" x14ac:dyDescent="0.25">
      <c r="A6" s="6" t="s">
        <v>7</v>
      </c>
      <c r="B6" s="9">
        <v>0.1</v>
      </c>
      <c r="C6" s="8" t="str">
        <f>"   " &amp;TimeUnit&amp;"s"</f>
        <v xml:space="preserve">   minutos</v>
      </c>
    </row>
    <row r="7" spans="1:5" hidden="1" x14ac:dyDescent="0.25">
      <c r="A7" s="6" t="s">
        <v>2</v>
      </c>
      <c r="B7" s="10">
        <v>1</v>
      </c>
      <c r="C7" s="8"/>
    </row>
    <row r="8" spans="1:5" hidden="1" x14ac:dyDescent="0.25">
      <c r="A8" s="6" t="s">
        <v>3</v>
      </c>
      <c r="B8" s="10">
        <v>1000</v>
      </c>
      <c r="C8" s="8"/>
      <c r="D8" s="5" t="s">
        <v>4</v>
      </c>
    </row>
    <row r="9" spans="1:5" x14ac:dyDescent="0.25">
      <c r="A9" s="6" t="s">
        <v>8</v>
      </c>
      <c r="B9" s="7">
        <v>500</v>
      </c>
      <c r="C9" s="8" t="str">
        <f>"   "&amp;TimeUnit&amp;"s"</f>
        <v xml:space="preserve">   minutos</v>
      </c>
      <c r="D9" s="6" t="s">
        <v>10</v>
      </c>
      <c r="E9" s="6">
        <f>ArriveRate/(1/MeanServeTime)</f>
        <v>0.3</v>
      </c>
    </row>
    <row r="10" spans="1:5" x14ac:dyDescent="0.25">
      <c r="B10" s="6"/>
    </row>
    <row r="11" spans="1:5" x14ac:dyDescent="0.25">
      <c r="A11" s="5" t="s">
        <v>12</v>
      </c>
      <c r="B11" s="11"/>
    </row>
    <row r="12" spans="1:5" ht="12.75" customHeight="1" x14ac:dyDescent="0.25">
      <c r="A12" s="6" t="s">
        <v>13</v>
      </c>
      <c r="B12" s="12">
        <v>499.53506469726562</v>
      </c>
      <c r="C12" s="8" t="str">
        <f>"   "&amp;TimeUnit&amp;"s"</f>
        <v xml:space="preserve">   minutos</v>
      </c>
      <c r="D12" s="13"/>
    </row>
    <row r="13" spans="1:5" ht="12.75" customHeight="1" x14ac:dyDescent="0.25">
      <c r="B13" s="13"/>
      <c r="D13" s="13"/>
    </row>
    <row r="14" spans="1:5" x14ac:dyDescent="0.25">
      <c r="A14" s="6" t="s">
        <v>14</v>
      </c>
      <c r="B14" s="14">
        <v>4.5955788344144821E-2</v>
      </c>
      <c r="C14" s="8" t="str">
        <f>"   "&amp;TimeUnit&amp;"s"</f>
        <v xml:space="preserve">   minutos</v>
      </c>
      <c r="D14" s="15"/>
    </row>
    <row r="15" spans="1:5" x14ac:dyDescent="0.25">
      <c r="A15" s="6" t="s">
        <v>15</v>
      </c>
      <c r="B15" s="16">
        <v>0.72308349609375</v>
      </c>
      <c r="C15" s="8" t="str">
        <f>"   "&amp;TimeUnit&amp;"s"</f>
        <v xml:space="preserve">   minutos</v>
      </c>
      <c r="D15" s="15"/>
    </row>
    <row r="16" spans="1:5" x14ac:dyDescent="0.25">
      <c r="A16" s="6" t="s">
        <v>16</v>
      </c>
      <c r="B16" s="16">
        <v>0.13983562588691711</v>
      </c>
      <c r="D16" s="16"/>
    </row>
    <row r="17" spans="1:4" x14ac:dyDescent="0.25">
      <c r="A17" s="6" t="s">
        <v>17</v>
      </c>
      <c r="B17" s="17">
        <v>6</v>
      </c>
      <c r="D17" s="16"/>
    </row>
    <row r="18" spans="1:4" x14ac:dyDescent="0.25">
      <c r="B18" s="17"/>
      <c r="D18" s="16"/>
    </row>
    <row r="19" spans="1:4" x14ac:dyDescent="0.25">
      <c r="A19" s="6" t="s">
        <v>18</v>
      </c>
      <c r="B19" s="18">
        <v>0.30559936165809631</v>
      </c>
      <c r="D19" s="19"/>
    </row>
    <row r="20" spans="1:4" x14ac:dyDescent="0.25">
      <c r="B20" s="18"/>
      <c r="D20" s="19"/>
    </row>
    <row r="21" spans="1:4" x14ac:dyDescent="0.25">
      <c r="A21" s="6" t="s">
        <v>19</v>
      </c>
      <c r="B21" s="20">
        <v>1520</v>
      </c>
    </row>
    <row r="22" spans="1:4" x14ac:dyDescent="0.25">
      <c r="B22" s="24">
        <v>0</v>
      </c>
    </row>
    <row r="23" spans="1:4" x14ac:dyDescent="0.25">
      <c r="B23" s="25">
        <f>NLost/(NLost + NServed)</f>
        <v>0</v>
      </c>
    </row>
    <row r="24" spans="1:4" x14ac:dyDescent="0.25">
      <c r="B24" s="6"/>
    </row>
    <row r="25" spans="1:4" x14ac:dyDescent="0.25">
      <c r="A25" s="6" t="s">
        <v>20</v>
      </c>
      <c r="B25" s="6"/>
    </row>
    <row r="26" spans="1:4" x14ac:dyDescent="0.25">
      <c r="A26" s="21" t="s">
        <v>21</v>
      </c>
      <c r="B26" s="21" t="s">
        <v>22</v>
      </c>
    </row>
    <row r="27" spans="1:4" x14ac:dyDescent="0.25">
      <c r="A27" s="6">
        <v>0</v>
      </c>
      <c r="B27" s="22">
        <v>0.90098726749420166</v>
      </c>
    </row>
    <row r="28" spans="1:4" x14ac:dyDescent="0.25">
      <c r="A28" s="6">
        <v>1</v>
      </c>
      <c r="B28" s="22">
        <v>7.1546114981174469E-2</v>
      </c>
    </row>
    <row r="29" spans="1:4" x14ac:dyDescent="0.25">
      <c r="A29" s="6">
        <v>2</v>
      </c>
      <c r="B29" s="22">
        <v>1.9390227273106575E-2</v>
      </c>
    </row>
    <row r="30" spans="1:4" x14ac:dyDescent="0.25">
      <c r="A30" s="6">
        <v>3</v>
      </c>
      <c r="B30" s="22">
        <v>4.2938641272485256E-3</v>
      </c>
    </row>
    <row r="31" spans="1:4" x14ac:dyDescent="0.25">
      <c r="A31" s="6">
        <v>4</v>
      </c>
      <c r="B31" s="22">
        <v>2.442086348310113E-3</v>
      </c>
    </row>
    <row r="32" spans="1:4" x14ac:dyDescent="0.25">
      <c r="A32" s="6">
        <v>5</v>
      </c>
      <c r="B32" s="22">
        <v>1.183683518320322E-3</v>
      </c>
    </row>
    <row r="33" spans="1:3" x14ac:dyDescent="0.25">
      <c r="A33" s="6">
        <v>6</v>
      </c>
      <c r="B33" s="22">
        <v>1.5678489580750465E-4</v>
      </c>
      <c r="C33" s="19"/>
    </row>
  </sheetData>
  <phoneticPr fontId="0" type="noConversion"/>
  <printOptions headings="1" gridLines="1" gridLinesSet="0"/>
  <pageMargins left="0.75" right="0.75" top="1" bottom="1" header="0.5" footer="0.5"/>
  <pageSetup scale="66" orientation="portrait" horizontalDpi="4294967292"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autoFill="0" autoLine="0" autoPict="0" macro="[0]!Main">
                <anchor moveWithCells="1" sizeWithCells="1">
                  <from>
                    <xdr:col>3</xdr:col>
                    <xdr:colOff>47625</xdr:colOff>
                    <xdr:row>10</xdr:row>
                    <xdr:rowOff>57150</xdr:rowOff>
                  </from>
                  <to>
                    <xdr:col>5</xdr:col>
                    <xdr:colOff>190500</xdr:colOff>
                    <xdr:row>12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19</vt:i4>
      </vt:variant>
    </vt:vector>
  </HeadingPairs>
  <TitlesOfParts>
    <vt:vector size="21" baseType="lpstr">
      <vt:lpstr>Explanation</vt:lpstr>
      <vt:lpstr>Report</vt:lpstr>
      <vt:lpstr>Explanation!Área_de_impresión</vt:lpstr>
      <vt:lpstr>Report!Área_de_impresión</vt:lpstr>
      <vt:lpstr>ArriveRate</vt:lpstr>
      <vt:lpstr>AvgNInQ</vt:lpstr>
      <vt:lpstr>AvgServerUtil</vt:lpstr>
      <vt:lpstr>AvgTimeInQ</vt:lpstr>
      <vt:lpstr>CloseTime</vt:lpstr>
      <vt:lpstr>FinalTime</vt:lpstr>
      <vt:lpstr>MaxAllowedInQ</vt:lpstr>
      <vt:lpstr>MaxNInQ</vt:lpstr>
      <vt:lpstr>MaxTimeInQ</vt:lpstr>
      <vt:lpstr>MeanServeTime</vt:lpstr>
      <vt:lpstr>NInQueue</vt:lpstr>
      <vt:lpstr>NLost</vt:lpstr>
      <vt:lpstr>NServed</vt:lpstr>
      <vt:lpstr>NServers</vt:lpstr>
      <vt:lpstr>PctLost</vt:lpstr>
      <vt:lpstr>PctOfTime</vt:lpstr>
      <vt:lpstr>TimeUnit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Abraham</cp:lastModifiedBy>
  <cp:lastPrinted>2008-11-08T19:14:43Z</cp:lastPrinted>
  <dcterms:created xsi:type="dcterms:W3CDTF">2000-07-29T00:46:31Z</dcterms:created>
  <dcterms:modified xsi:type="dcterms:W3CDTF">2015-03-12T06:20:36Z</dcterms:modified>
</cp:coreProperties>
</file>
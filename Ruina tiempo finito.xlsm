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raham\Documents\Actuaria\Procesos estocasticos 2\"/>
    </mc:Choice>
  </mc:AlternateContent>
  <bookViews>
    <workbookView xWindow="0" yWindow="0" windowWidth="20490" windowHeight="7755"/>
  </bookViews>
  <sheets>
    <sheet name="Gamma" sheetId="1" r:id="rId1"/>
    <sheet name="Weibull" sheetId="3" r:id="rId2"/>
    <sheet name="Exponencial" sheetId="2" r:id="rId3"/>
    <sheet name="Normal" sheetId="4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"3YYCERE5WI7JYU2WMGAQ2D21"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4"/>
  <c r="F2" i="4" s="1"/>
  <c r="E2" i="3"/>
  <c r="F2" i="3"/>
  <c r="E2" i="1"/>
  <c r="E2" i="2"/>
  <c r="D2" i="4"/>
  <c r="D2" i="2"/>
  <c r="F2" i="1"/>
  <c r="F2" i="2"/>
  <c r="D2" i="3"/>
  <c r="C2" i="3" s="1"/>
  <c r="G2" i="3" l="1"/>
  <c r="D3" i="1"/>
  <c r="C3" i="1" s="1"/>
  <c r="D3" i="4"/>
  <c r="C3" i="4" s="1"/>
  <c r="C2" i="4"/>
  <c r="C2" i="1"/>
  <c r="G2" i="1" s="1"/>
  <c r="D3" i="3"/>
  <c r="D3" i="2"/>
  <c r="C2" i="2"/>
  <c r="G2" i="2" s="1"/>
  <c r="G2" i="4" l="1"/>
  <c r="D4" i="1"/>
  <c r="D5" i="1" s="1"/>
  <c r="D4" i="4"/>
  <c r="D4" i="3"/>
  <c r="C3" i="3"/>
  <c r="C3" i="2"/>
  <c r="D4" i="2"/>
  <c r="C4" i="1" l="1"/>
  <c r="D6" i="1"/>
  <c r="D7" i="1" s="1"/>
  <c r="D8" i="1" s="1"/>
  <c r="D5" i="4"/>
  <c r="D6" i="4" s="1"/>
  <c r="C4" i="4"/>
  <c r="C5" i="1"/>
  <c r="D5" i="3"/>
  <c r="C4" i="3"/>
  <c r="C4" i="2"/>
  <c r="D5" i="2"/>
  <c r="D6" i="2" s="1"/>
  <c r="D9" i="1" l="1"/>
  <c r="D10" i="1" s="1"/>
  <c r="D11" i="1" s="1"/>
  <c r="D7" i="4"/>
  <c r="D8" i="4" s="1"/>
  <c r="C5" i="4"/>
  <c r="C6" i="4"/>
  <c r="C6" i="1"/>
  <c r="D6" i="3"/>
  <c r="C5" i="3"/>
  <c r="C5" i="2"/>
  <c r="D7" i="2"/>
  <c r="D8" i="2" s="1"/>
  <c r="C6" i="2"/>
  <c r="D12" i="1" l="1"/>
  <c r="D13" i="1" s="1"/>
  <c r="D9" i="4"/>
  <c r="D10" i="4" s="1"/>
  <c r="C7" i="4"/>
  <c r="C7" i="1"/>
  <c r="D7" i="3"/>
  <c r="D8" i="3" s="1"/>
  <c r="C6" i="3"/>
  <c r="D9" i="2"/>
  <c r="C7" i="2"/>
  <c r="D14" i="1" l="1"/>
  <c r="D15" i="1" s="1"/>
  <c r="D11" i="4"/>
  <c r="C8" i="4"/>
  <c r="C8" i="1"/>
  <c r="D9" i="3"/>
  <c r="C8" i="3"/>
  <c r="C7" i="3"/>
  <c r="D10" i="2"/>
  <c r="C8" i="2"/>
  <c r="D16" i="1" l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12" i="4"/>
  <c r="C9" i="4"/>
  <c r="C9" i="1"/>
  <c r="D10" i="3"/>
  <c r="C9" i="3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80" i="2" s="1"/>
  <c r="D381" i="2" s="1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D426" i="2" s="1"/>
  <c r="D427" i="2" s="1"/>
  <c r="D428" i="2" s="1"/>
  <c r="D429" i="2" s="1"/>
  <c r="D430" i="2" s="1"/>
  <c r="D431" i="2" s="1"/>
  <c r="D432" i="2" s="1"/>
  <c r="D433" i="2" s="1"/>
  <c r="D434" i="2" s="1"/>
  <c r="D435" i="2" s="1"/>
  <c r="D436" i="2" s="1"/>
  <c r="D437" i="2" s="1"/>
  <c r="D438" i="2" s="1"/>
  <c r="D439" i="2" s="1"/>
  <c r="D440" i="2" s="1"/>
  <c r="D441" i="2" s="1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D486" i="2" s="1"/>
  <c r="D487" i="2" s="1"/>
  <c r="D488" i="2" s="1"/>
  <c r="D489" i="2" s="1"/>
  <c r="D490" i="2" s="1"/>
  <c r="D491" i="2" s="1"/>
  <c r="D492" i="2" s="1"/>
  <c r="D493" i="2" s="1"/>
  <c r="D494" i="2" s="1"/>
  <c r="D495" i="2" s="1"/>
  <c r="D496" i="2" s="1"/>
  <c r="D497" i="2" s="1"/>
  <c r="D498" i="2" s="1"/>
  <c r="D499" i="2" s="1"/>
  <c r="C9" i="2"/>
  <c r="D13" i="4" l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D374" i="4" s="1"/>
  <c r="D375" i="4" s="1"/>
  <c r="D376" i="4" s="1"/>
  <c r="D377" i="4" s="1"/>
  <c r="D378" i="4" s="1"/>
  <c r="D379" i="4" s="1"/>
  <c r="D380" i="4" s="1"/>
  <c r="D381" i="4" s="1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D426" i="4" s="1"/>
  <c r="D427" i="4" s="1"/>
  <c r="D428" i="4" s="1"/>
  <c r="D429" i="4" s="1"/>
  <c r="D430" i="4" s="1"/>
  <c r="D431" i="4" s="1"/>
  <c r="D432" i="4" s="1"/>
  <c r="D433" i="4" s="1"/>
  <c r="D434" i="4" s="1"/>
  <c r="D435" i="4" s="1"/>
  <c r="D436" i="4" s="1"/>
  <c r="D437" i="4" s="1"/>
  <c r="D438" i="4" s="1"/>
  <c r="D439" i="4" s="1"/>
  <c r="D440" i="4" s="1"/>
  <c r="D441" i="4" s="1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D486" i="4" s="1"/>
  <c r="D487" i="4" s="1"/>
  <c r="D488" i="4" s="1"/>
  <c r="D489" i="4" s="1"/>
  <c r="D490" i="4" s="1"/>
  <c r="D491" i="4" s="1"/>
  <c r="D492" i="4" s="1"/>
  <c r="D493" i="4" s="1"/>
  <c r="D494" i="4" s="1"/>
  <c r="D495" i="4" s="1"/>
  <c r="D496" i="4" s="1"/>
  <c r="D497" i="4" s="1"/>
  <c r="D498" i="4" s="1"/>
  <c r="D499" i="4" s="1"/>
  <c r="C10" i="4"/>
  <c r="C10" i="1"/>
  <c r="C10" i="3"/>
  <c r="D11" i="3"/>
  <c r="D12" i="3" s="1"/>
  <c r="C10" i="2"/>
  <c r="C11" i="4" l="1"/>
  <c r="C11" i="1"/>
  <c r="C12" i="3"/>
  <c r="D13" i="3"/>
  <c r="C13" i="3" s="1"/>
  <c r="C11" i="3"/>
  <c r="C11" i="2"/>
  <c r="D14" i="3" l="1"/>
  <c r="C14" i="3" s="1"/>
  <c r="C12" i="4"/>
  <c r="C12" i="1"/>
  <c r="C12" i="2"/>
  <c r="D15" i="3" l="1"/>
  <c r="D16" i="3" s="1"/>
  <c r="C13" i="4"/>
  <c r="C13" i="1"/>
  <c r="C13" i="2"/>
  <c r="C15" i="3" l="1"/>
  <c r="C14" i="4"/>
  <c r="C14" i="1"/>
  <c r="D17" i="3"/>
  <c r="C16" i="3"/>
  <c r="C14" i="2"/>
  <c r="C15" i="4" l="1"/>
  <c r="C15" i="1"/>
  <c r="D18" i="3"/>
  <c r="C17" i="3"/>
  <c r="C15" i="2"/>
  <c r="C16" i="4" l="1"/>
  <c r="C16" i="1"/>
  <c r="D19" i="3"/>
  <c r="C18" i="3"/>
  <c r="C16" i="2"/>
  <c r="C17" i="4" l="1"/>
  <c r="C17" i="1"/>
  <c r="D20" i="3"/>
  <c r="C19" i="3"/>
  <c r="C17" i="2"/>
  <c r="C18" i="4" l="1"/>
  <c r="C18" i="1"/>
  <c r="C20" i="3"/>
  <c r="D21" i="3"/>
  <c r="C18" i="2"/>
  <c r="C19" i="4" l="1"/>
  <c r="C19" i="1"/>
  <c r="C21" i="3"/>
  <c r="D22" i="3"/>
  <c r="C19" i="2"/>
  <c r="C20" i="4" l="1"/>
  <c r="C20" i="1"/>
  <c r="D23" i="3"/>
  <c r="C22" i="3"/>
  <c r="C20" i="2"/>
  <c r="C21" i="4" l="1"/>
  <c r="C21" i="1"/>
  <c r="D24" i="3"/>
  <c r="C23" i="3"/>
  <c r="C21" i="2"/>
  <c r="C22" i="4" l="1"/>
  <c r="C22" i="1"/>
  <c r="D25" i="3"/>
  <c r="C24" i="3"/>
  <c r="C22" i="2"/>
  <c r="C23" i="4" l="1"/>
  <c r="C23" i="1"/>
  <c r="D26" i="3"/>
  <c r="C25" i="3"/>
  <c r="C23" i="2"/>
  <c r="C24" i="4" l="1"/>
  <c r="C24" i="1"/>
  <c r="D27" i="3"/>
  <c r="C26" i="3"/>
  <c r="C24" i="2"/>
  <c r="C25" i="4" l="1"/>
  <c r="C25" i="1"/>
  <c r="D28" i="3"/>
  <c r="C27" i="3"/>
  <c r="C25" i="2"/>
  <c r="C26" i="4" l="1"/>
  <c r="C26" i="1"/>
  <c r="D29" i="3"/>
  <c r="C28" i="3"/>
  <c r="C26" i="2"/>
  <c r="C27" i="4" l="1"/>
  <c r="C27" i="1"/>
  <c r="D30" i="3"/>
  <c r="C29" i="3"/>
  <c r="C27" i="2"/>
  <c r="C28" i="4" l="1"/>
  <c r="C28" i="1"/>
  <c r="D31" i="3"/>
  <c r="C30" i="3"/>
  <c r="C28" i="2"/>
  <c r="C29" i="4" l="1"/>
  <c r="C29" i="1"/>
  <c r="D32" i="3"/>
  <c r="C31" i="3"/>
  <c r="C29" i="2"/>
  <c r="C30" i="4" l="1"/>
  <c r="C30" i="1"/>
  <c r="D33" i="3"/>
  <c r="C32" i="3"/>
  <c r="C30" i="2"/>
  <c r="C31" i="4" l="1"/>
  <c r="C31" i="1"/>
  <c r="D34" i="3"/>
  <c r="C33" i="3"/>
  <c r="C31" i="2"/>
  <c r="C32" i="4" l="1"/>
  <c r="C32" i="1"/>
  <c r="D35" i="3"/>
  <c r="C34" i="3"/>
  <c r="C32" i="2"/>
  <c r="C33" i="4" l="1"/>
  <c r="C33" i="1"/>
  <c r="D36" i="3"/>
  <c r="C35" i="3"/>
  <c r="C33" i="2"/>
  <c r="C34" i="4" l="1"/>
  <c r="C34" i="1"/>
  <c r="D37" i="3"/>
  <c r="C36" i="3"/>
  <c r="C34" i="2"/>
  <c r="C35" i="4" l="1"/>
  <c r="C35" i="1"/>
  <c r="D38" i="3"/>
  <c r="C37" i="3"/>
  <c r="C35" i="2"/>
  <c r="C36" i="4" l="1"/>
  <c r="C36" i="1"/>
  <c r="D39" i="3"/>
  <c r="C38" i="3"/>
  <c r="C36" i="2"/>
  <c r="C37" i="4" l="1"/>
  <c r="C37" i="1"/>
  <c r="D40" i="3"/>
  <c r="C39" i="3"/>
  <c r="C37" i="2"/>
  <c r="C38" i="4" l="1"/>
  <c r="C38" i="1"/>
  <c r="C40" i="3"/>
  <c r="D41" i="3"/>
  <c r="C38" i="2"/>
  <c r="C39" i="4" l="1"/>
  <c r="C39" i="1"/>
  <c r="D42" i="3"/>
  <c r="C41" i="3"/>
  <c r="C39" i="2"/>
  <c r="C40" i="4" l="1"/>
  <c r="C40" i="1"/>
  <c r="D43" i="3"/>
  <c r="C42" i="3"/>
  <c r="C40" i="2"/>
  <c r="C41" i="4" l="1"/>
  <c r="C41" i="1"/>
  <c r="D44" i="3"/>
  <c r="C43" i="3"/>
  <c r="C41" i="2"/>
  <c r="C42" i="4" l="1"/>
  <c r="C42" i="1"/>
  <c r="D45" i="3"/>
  <c r="C44" i="3"/>
  <c r="C42" i="2"/>
  <c r="C43" i="4" l="1"/>
  <c r="C43" i="1"/>
  <c r="D46" i="3"/>
  <c r="C45" i="3"/>
  <c r="C43" i="2"/>
  <c r="C44" i="4" l="1"/>
  <c r="C44" i="1"/>
  <c r="D47" i="3"/>
  <c r="C46" i="3"/>
  <c r="C44" i="2"/>
  <c r="C45" i="4" l="1"/>
  <c r="C45" i="1"/>
  <c r="D48" i="3"/>
  <c r="C47" i="3"/>
  <c r="C45" i="2"/>
  <c r="C46" i="4" l="1"/>
  <c r="C46" i="1"/>
  <c r="D49" i="3"/>
  <c r="C48" i="3"/>
  <c r="C46" i="2"/>
  <c r="C47" i="4" l="1"/>
  <c r="C47" i="1"/>
  <c r="D50" i="3"/>
  <c r="C49" i="3"/>
  <c r="C47" i="2"/>
  <c r="C48" i="4" l="1"/>
  <c r="C48" i="1"/>
  <c r="D51" i="3"/>
  <c r="C50" i="3"/>
  <c r="C48" i="2"/>
  <c r="C49" i="4" l="1"/>
  <c r="C49" i="1"/>
  <c r="D52" i="3"/>
  <c r="C51" i="3"/>
  <c r="C49" i="2"/>
  <c r="C50" i="4" l="1"/>
  <c r="C50" i="1"/>
  <c r="D53" i="3"/>
  <c r="C52" i="3"/>
  <c r="C50" i="2"/>
  <c r="C51" i="4" l="1"/>
  <c r="C51" i="1"/>
  <c r="D54" i="3"/>
  <c r="C53" i="3"/>
  <c r="C51" i="2"/>
  <c r="C52" i="4" l="1"/>
  <c r="C52" i="1"/>
  <c r="D55" i="3"/>
  <c r="C54" i="3"/>
  <c r="C52" i="2"/>
  <c r="C53" i="4" l="1"/>
  <c r="C53" i="1"/>
  <c r="D56" i="3"/>
  <c r="C55" i="3"/>
  <c r="C53" i="2"/>
  <c r="C54" i="4" l="1"/>
  <c r="C54" i="1"/>
  <c r="D57" i="3"/>
  <c r="C56" i="3"/>
  <c r="C54" i="2"/>
  <c r="C55" i="4" l="1"/>
  <c r="C55" i="1"/>
  <c r="D58" i="3"/>
  <c r="C57" i="3"/>
  <c r="C55" i="2"/>
  <c r="C56" i="4" l="1"/>
  <c r="C56" i="1"/>
  <c r="D59" i="3"/>
  <c r="C58" i="3"/>
  <c r="C56" i="2"/>
  <c r="C57" i="4" l="1"/>
  <c r="C57" i="1"/>
  <c r="D60" i="3"/>
  <c r="C59" i="3"/>
  <c r="C57" i="2"/>
  <c r="C58" i="4" l="1"/>
  <c r="C58" i="1"/>
  <c r="D61" i="3"/>
  <c r="C60" i="3"/>
  <c r="C58" i="2"/>
  <c r="C59" i="4" l="1"/>
  <c r="C59" i="1"/>
  <c r="D62" i="3"/>
  <c r="C61" i="3"/>
  <c r="C59" i="2"/>
  <c r="C60" i="4" l="1"/>
  <c r="C60" i="1"/>
  <c r="D63" i="3"/>
  <c r="C62" i="3"/>
  <c r="C60" i="2"/>
  <c r="C61" i="4" l="1"/>
  <c r="C61" i="1"/>
  <c r="D64" i="3"/>
  <c r="C63" i="3"/>
  <c r="C61" i="2"/>
  <c r="C62" i="4" l="1"/>
  <c r="C62" i="1"/>
  <c r="D65" i="3"/>
  <c r="C64" i="3"/>
  <c r="C62" i="2"/>
  <c r="C63" i="4" l="1"/>
  <c r="C63" i="1"/>
  <c r="D66" i="3"/>
  <c r="C65" i="3"/>
  <c r="C63" i="2"/>
  <c r="C64" i="4" l="1"/>
  <c r="C64" i="1"/>
  <c r="D67" i="3"/>
  <c r="C66" i="3"/>
  <c r="C64" i="2"/>
  <c r="C65" i="4" l="1"/>
  <c r="C65" i="1"/>
  <c r="D68" i="3"/>
  <c r="C67" i="3"/>
  <c r="C65" i="2"/>
  <c r="C66" i="4" l="1"/>
  <c r="C66" i="1"/>
  <c r="D69" i="3"/>
  <c r="C68" i="3"/>
  <c r="C66" i="2"/>
  <c r="C67" i="4" l="1"/>
  <c r="C67" i="1"/>
  <c r="D70" i="3"/>
  <c r="C69" i="3"/>
  <c r="C67" i="2"/>
  <c r="C68" i="4" l="1"/>
  <c r="C68" i="1"/>
  <c r="D71" i="3"/>
  <c r="C70" i="3"/>
  <c r="C68" i="2"/>
  <c r="C69" i="4" l="1"/>
  <c r="C69" i="1"/>
  <c r="D72" i="3"/>
  <c r="C71" i="3"/>
  <c r="C69" i="2"/>
  <c r="C70" i="4" l="1"/>
  <c r="C70" i="1"/>
  <c r="D73" i="3"/>
  <c r="C72" i="3"/>
  <c r="C70" i="2"/>
  <c r="C71" i="4" l="1"/>
  <c r="C71" i="1"/>
  <c r="D74" i="3"/>
  <c r="C73" i="3"/>
  <c r="C71" i="2"/>
  <c r="C72" i="4" l="1"/>
  <c r="C72" i="1"/>
  <c r="D75" i="3"/>
  <c r="C74" i="3"/>
  <c r="C72" i="2"/>
  <c r="C73" i="4" l="1"/>
  <c r="C73" i="1"/>
  <c r="D76" i="3"/>
  <c r="C75" i="3"/>
  <c r="C73" i="2"/>
  <c r="C74" i="4" l="1"/>
  <c r="C74" i="1"/>
  <c r="D77" i="3"/>
  <c r="C76" i="3"/>
  <c r="C74" i="2"/>
  <c r="C75" i="4" l="1"/>
  <c r="C75" i="1"/>
  <c r="D78" i="3"/>
  <c r="C77" i="3"/>
  <c r="C75" i="2"/>
  <c r="C76" i="4" l="1"/>
  <c r="C76" i="1"/>
  <c r="D79" i="3"/>
  <c r="C78" i="3"/>
  <c r="C76" i="2"/>
  <c r="C77" i="4" l="1"/>
  <c r="C77" i="1"/>
  <c r="D80" i="3"/>
  <c r="C79" i="3"/>
  <c r="C77" i="2"/>
  <c r="C78" i="4" l="1"/>
  <c r="C78" i="1"/>
  <c r="D81" i="3"/>
  <c r="C80" i="3"/>
  <c r="C78" i="2"/>
  <c r="C79" i="4" l="1"/>
  <c r="C79" i="1"/>
  <c r="D82" i="3"/>
  <c r="C81" i="3"/>
  <c r="C79" i="2"/>
  <c r="C80" i="4" l="1"/>
  <c r="C80" i="1"/>
  <c r="D83" i="3"/>
  <c r="C82" i="3"/>
  <c r="C80" i="2"/>
  <c r="C81" i="4" l="1"/>
  <c r="C81" i="1"/>
  <c r="D84" i="3"/>
  <c r="C83" i="3"/>
  <c r="C81" i="2"/>
  <c r="C82" i="4" l="1"/>
  <c r="C82" i="1"/>
  <c r="D85" i="3"/>
  <c r="C84" i="3"/>
  <c r="C82" i="2"/>
  <c r="C83" i="4" l="1"/>
  <c r="C83" i="1"/>
  <c r="D86" i="3"/>
  <c r="C85" i="3"/>
  <c r="C83" i="2"/>
  <c r="C84" i="4" l="1"/>
  <c r="C84" i="1"/>
  <c r="D87" i="3"/>
  <c r="C86" i="3"/>
  <c r="C84" i="2"/>
  <c r="C85" i="4" l="1"/>
  <c r="C85" i="1"/>
  <c r="D88" i="3"/>
  <c r="C87" i="3"/>
  <c r="C85" i="2"/>
  <c r="C86" i="4" l="1"/>
  <c r="C86" i="1"/>
  <c r="D89" i="3"/>
  <c r="C88" i="3"/>
  <c r="C86" i="2"/>
  <c r="C87" i="4" l="1"/>
  <c r="C87" i="1"/>
  <c r="D90" i="3"/>
  <c r="C89" i="3"/>
  <c r="C87" i="2"/>
  <c r="C88" i="4" l="1"/>
  <c r="C88" i="1"/>
  <c r="D91" i="3"/>
  <c r="C90" i="3"/>
  <c r="C88" i="2"/>
  <c r="C89" i="4" l="1"/>
  <c r="C89" i="1"/>
  <c r="D92" i="3"/>
  <c r="C91" i="3"/>
  <c r="C89" i="2"/>
  <c r="C90" i="4" l="1"/>
  <c r="C90" i="1"/>
  <c r="D93" i="3"/>
  <c r="C92" i="3"/>
  <c r="C90" i="2"/>
  <c r="C91" i="4" l="1"/>
  <c r="C91" i="1"/>
  <c r="D94" i="3"/>
  <c r="C93" i="3"/>
  <c r="C91" i="2"/>
  <c r="C92" i="4" l="1"/>
  <c r="C92" i="1"/>
  <c r="D95" i="3"/>
  <c r="C94" i="3"/>
  <c r="C92" i="2"/>
  <c r="C93" i="4" l="1"/>
  <c r="C93" i="1"/>
  <c r="D96" i="3"/>
  <c r="C95" i="3"/>
  <c r="C93" i="2"/>
  <c r="C94" i="4" l="1"/>
  <c r="C94" i="1"/>
  <c r="D97" i="3"/>
  <c r="C96" i="3"/>
  <c r="C94" i="2"/>
  <c r="C95" i="4" l="1"/>
  <c r="C95" i="1"/>
  <c r="D98" i="3"/>
  <c r="C97" i="3"/>
  <c r="C95" i="2"/>
  <c r="C96" i="4" l="1"/>
  <c r="C96" i="1"/>
  <c r="D99" i="3"/>
  <c r="C98" i="3"/>
  <c r="C96" i="2"/>
  <c r="C97" i="4" l="1"/>
  <c r="C97" i="1"/>
  <c r="D100" i="3"/>
  <c r="C99" i="3"/>
  <c r="C97" i="2"/>
  <c r="C98" i="4" l="1"/>
  <c r="C98" i="1"/>
  <c r="D101" i="3"/>
  <c r="C100" i="3"/>
  <c r="C98" i="2"/>
  <c r="C99" i="4" l="1"/>
  <c r="C99" i="1"/>
  <c r="D102" i="3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C101" i="3"/>
  <c r="C99" i="2"/>
  <c r="C100" i="4" l="1"/>
  <c r="C100" i="1"/>
  <c r="C100" i="2"/>
  <c r="B7" i="3"/>
  <c r="E3" i="3" s="1"/>
  <c r="C101" i="4" l="1"/>
  <c r="B7" i="4" s="1"/>
  <c r="E3" i="4" s="1"/>
  <c r="C101" i="1"/>
  <c r="B7" i="1" s="1"/>
  <c r="E3" i="1" s="1"/>
  <c r="C101" i="2"/>
  <c r="F3" i="3"/>
  <c r="G3" i="3" s="1"/>
  <c r="E4" i="3"/>
  <c r="F3" i="4" l="1"/>
  <c r="G3" i="4" s="1"/>
  <c r="E4" i="4"/>
  <c r="F3" i="1"/>
  <c r="G3" i="1" s="1"/>
  <c r="E4" i="1"/>
  <c r="B6" i="2"/>
  <c r="E3" i="2" s="1"/>
  <c r="E4" i="2" s="1"/>
  <c r="E5" i="3"/>
  <c r="F4" i="3"/>
  <c r="G4" i="3" s="1"/>
  <c r="E5" i="4" l="1"/>
  <c r="F4" i="4"/>
  <c r="G4" i="4" s="1"/>
  <c r="F4" i="1"/>
  <c r="G4" i="1" s="1"/>
  <c r="E5" i="1"/>
  <c r="F3" i="2"/>
  <c r="G3" i="2" s="1"/>
  <c r="E5" i="2"/>
  <c r="F4" i="2"/>
  <c r="E6" i="3"/>
  <c r="F5" i="3"/>
  <c r="G5" i="3" s="1"/>
  <c r="F5" i="4" l="1"/>
  <c r="G5" i="4" s="1"/>
  <c r="E6" i="4"/>
  <c r="E6" i="1"/>
  <c r="F5" i="1"/>
  <c r="G5" i="1" s="1"/>
  <c r="G4" i="2"/>
  <c r="E6" i="2"/>
  <c r="F5" i="2"/>
  <c r="G5" i="2" s="1"/>
  <c r="E7" i="3"/>
  <c r="F6" i="3"/>
  <c r="G6" i="3" s="1"/>
  <c r="F6" i="4" l="1"/>
  <c r="G6" i="4" s="1"/>
  <c r="E7" i="4"/>
  <c r="E7" i="1"/>
  <c r="F6" i="1"/>
  <c r="G6" i="1" s="1"/>
  <c r="E7" i="2"/>
  <c r="F6" i="2"/>
  <c r="G6" i="2" s="1"/>
  <c r="E8" i="3"/>
  <c r="F7" i="3"/>
  <c r="G7" i="3" s="1"/>
  <c r="E8" i="4" l="1"/>
  <c r="F7" i="4"/>
  <c r="G7" i="4" s="1"/>
  <c r="E8" i="1"/>
  <c r="F7" i="1"/>
  <c r="G7" i="1" s="1"/>
  <c r="F7" i="2"/>
  <c r="G7" i="2" s="1"/>
  <c r="E8" i="2"/>
  <c r="E9" i="3"/>
  <c r="F8" i="3"/>
  <c r="G8" i="3" s="1"/>
  <c r="E9" i="4" l="1"/>
  <c r="F8" i="4"/>
  <c r="G8" i="4" s="1"/>
  <c r="E9" i="1"/>
  <c r="F8" i="1"/>
  <c r="G8" i="1" s="1"/>
  <c r="F8" i="2"/>
  <c r="G8" i="2" s="1"/>
  <c r="E9" i="2"/>
  <c r="F9" i="3"/>
  <c r="G9" i="3" s="1"/>
  <c r="E10" i="3"/>
  <c r="F9" i="4" l="1"/>
  <c r="G9" i="4" s="1"/>
  <c r="E10" i="4"/>
  <c r="F9" i="1"/>
  <c r="G9" i="1" s="1"/>
  <c r="E10" i="1"/>
  <c r="E10" i="2"/>
  <c r="F9" i="2"/>
  <c r="G9" i="2" s="1"/>
  <c r="E11" i="3"/>
  <c r="F10" i="3"/>
  <c r="G10" i="3" s="1"/>
  <c r="E11" i="4" l="1"/>
  <c r="F10" i="4"/>
  <c r="G10" i="4" s="1"/>
  <c r="F10" i="1"/>
  <c r="G10" i="1" s="1"/>
  <c r="E11" i="1"/>
  <c r="F10" i="2"/>
  <c r="G10" i="2" s="1"/>
  <c r="E11" i="2"/>
  <c r="E12" i="3"/>
  <c r="F11" i="3"/>
  <c r="G11" i="3" s="1"/>
  <c r="F11" i="4" l="1"/>
  <c r="G11" i="4" s="1"/>
  <c r="E12" i="4"/>
  <c r="F11" i="1"/>
  <c r="G11" i="1" s="1"/>
  <c r="E12" i="1"/>
  <c r="F11" i="2"/>
  <c r="G11" i="2" s="1"/>
  <c r="E12" i="2"/>
  <c r="E13" i="3"/>
  <c r="F12" i="3"/>
  <c r="G12" i="3" s="1"/>
  <c r="E13" i="4" l="1"/>
  <c r="F12" i="4"/>
  <c r="G12" i="4" s="1"/>
  <c r="E13" i="1"/>
  <c r="F12" i="1"/>
  <c r="G12" i="1" s="1"/>
  <c r="F12" i="2"/>
  <c r="G12" i="2" s="1"/>
  <c r="E13" i="2"/>
  <c r="F13" i="3"/>
  <c r="G13" i="3" s="1"/>
  <c r="E14" i="3"/>
  <c r="F13" i="4" l="1"/>
  <c r="G13" i="4" s="1"/>
  <c r="E14" i="4"/>
  <c r="F13" i="1"/>
  <c r="G13" i="1" s="1"/>
  <c r="E14" i="1"/>
  <c r="E14" i="2"/>
  <c r="F13" i="2"/>
  <c r="G13" i="2" s="1"/>
  <c r="E15" i="3"/>
  <c r="F14" i="3"/>
  <c r="G14" i="3" s="1"/>
  <c r="E15" i="4" l="1"/>
  <c r="F14" i="4"/>
  <c r="G14" i="4" s="1"/>
  <c r="E15" i="1"/>
  <c r="F14" i="1"/>
  <c r="G14" i="1" s="1"/>
  <c r="F14" i="2"/>
  <c r="G14" i="2" s="1"/>
  <c r="E15" i="2"/>
  <c r="E16" i="3"/>
  <c r="F15" i="3"/>
  <c r="G15" i="3" s="1"/>
  <c r="F15" i="4" l="1"/>
  <c r="G15" i="4" s="1"/>
  <c r="E16" i="4"/>
  <c r="E16" i="1"/>
  <c r="F15" i="1"/>
  <c r="G15" i="1" s="1"/>
  <c r="F15" i="2"/>
  <c r="G15" i="2" s="1"/>
  <c r="E16" i="2"/>
  <c r="E17" i="3"/>
  <c r="F16" i="3"/>
  <c r="G16" i="3" s="1"/>
  <c r="F16" i="4" l="1"/>
  <c r="G16" i="4" s="1"/>
  <c r="E17" i="4"/>
  <c r="E17" i="1"/>
  <c r="F16" i="1"/>
  <c r="G16" i="1" s="1"/>
  <c r="F16" i="2"/>
  <c r="G16" i="2" s="1"/>
  <c r="E17" i="2"/>
  <c r="E18" i="3"/>
  <c r="F17" i="3"/>
  <c r="G17" i="3" s="1"/>
  <c r="E18" i="4" l="1"/>
  <c r="F17" i="4"/>
  <c r="G17" i="4" s="1"/>
  <c r="F17" i="1"/>
  <c r="G17" i="1" s="1"/>
  <c r="E18" i="1"/>
  <c r="E18" i="2"/>
  <c r="F17" i="2"/>
  <c r="G17" i="2" s="1"/>
  <c r="E19" i="3"/>
  <c r="F18" i="3"/>
  <c r="G18" i="3" s="1"/>
  <c r="E19" i="4" l="1"/>
  <c r="F18" i="4"/>
  <c r="G18" i="4" s="1"/>
  <c r="F18" i="1"/>
  <c r="G18" i="1" s="1"/>
  <c r="E19" i="1"/>
  <c r="F18" i="2"/>
  <c r="G18" i="2" s="1"/>
  <c r="E19" i="2"/>
  <c r="E20" i="3"/>
  <c r="F19" i="3"/>
  <c r="G19" i="3" s="1"/>
  <c r="F19" i="4" l="1"/>
  <c r="G19" i="4" s="1"/>
  <c r="E20" i="4"/>
  <c r="F19" i="1"/>
  <c r="G19" i="1" s="1"/>
  <c r="E20" i="1"/>
  <c r="F19" i="2"/>
  <c r="G19" i="2" s="1"/>
  <c r="E20" i="2"/>
  <c r="F20" i="3"/>
  <c r="G20" i="3" s="1"/>
  <c r="E21" i="3"/>
  <c r="E21" i="4" l="1"/>
  <c r="F20" i="4"/>
  <c r="G20" i="4" s="1"/>
  <c r="F20" i="1"/>
  <c r="G20" i="1" s="1"/>
  <c r="E21" i="1"/>
  <c r="F20" i="2"/>
  <c r="G20" i="2" s="1"/>
  <c r="E21" i="2"/>
  <c r="E22" i="3"/>
  <c r="F21" i="3"/>
  <c r="G21" i="3" s="1"/>
  <c r="E22" i="4" l="1"/>
  <c r="F21" i="4"/>
  <c r="G21" i="4" s="1"/>
  <c r="F21" i="1"/>
  <c r="G21" i="1" s="1"/>
  <c r="E22" i="1"/>
  <c r="F21" i="2"/>
  <c r="G21" i="2" s="1"/>
  <c r="E22" i="2"/>
  <c r="E23" i="3"/>
  <c r="F22" i="3"/>
  <c r="G22" i="3" s="1"/>
  <c r="E23" i="4" l="1"/>
  <c r="F22" i="4"/>
  <c r="G22" i="4" s="1"/>
  <c r="E23" i="1"/>
  <c r="F22" i="1"/>
  <c r="G22" i="1" s="1"/>
  <c r="F22" i="2"/>
  <c r="G22" i="2" s="1"/>
  <c r="E23" i="2"/>
  <c r="F23" i="3"/>
  <c r="G23" i="3" s="1"/>
  <c r="E24" i="3"/>
  <c r="F23" i="4" l="1"/>
  <c r="G23" i="4" s="1"/>
  <c r="E24" i="4"/>
  <c r="F23" i="1"/>
  <c r="G23" i="1" s="1"/>
  <c r="E24" i="1"/>
  <c r="F23" i="2"/>
  <c r="G23" i="2" s="1"/>
  <c r="E24" i="2"/>
  <c r="E25" i="3"/>
  <c r="F24" i="3"/>
  <c r="G24" i="3" s="1"/>
  <c r="F24" i="4" l="1"/>
  <c r="G24" i="4" s="1"/>
  <c r="E25" i="4"/>
  <c r="F24" i="1"/>
  <c r="G24" i="1" s="1"/>
  <c r="E25" i="1"/>
  <c r="F24" i="2"/>
  <c r="G24" i="2" s="1"/>
  <c r="E25" i="2"/>
  <c r="F25" i="3"/>
  <c r="G25" i="3" s="1"/>
  <c r="E26" i="3"/>
  <c r="F25" i="4" l="1"/>
  <c r="G25" i="4" s="1"/>
  <c r="E26" i="4"/>
  <c r="F25" i="1"/>
  <c r="G25" i="1" s="1"/>
  <c r="E26" i="1"/>
  <c r="E26" i="2"/>
  <c r="F25" i="2"/>
  <c r="G25" i="2" s="1"/>
  <c r="E27" i="3"/>
  <c r="F26" i="3"/>
  <c r="G26" i="3" s="1"/>
  <c r="F26" i="4" l="1"/>
  <c r="G26" i="4" s="1"/>
  <c r="E27" i="4"/>
  <c r="E27" i="1"/>
  <c r="F26" i="1"/>
  <c r="G26" i="1" s="1"/>
  <c r="E27" i="2"/>
  <c r="F26" i="2"/>
  <c r="G26" i="2" s="1"/>
  <c r="F27" i="3"/>
  <c r="G27" i="3" s="1"/>
  <c r="E28" i="3"/>
  <c r="F27" i="4" l="1"/>
  <c r="G27" i="4" s="1"/>
  <c r="E28" i="4"/>
  <c r="F27" i="1"/>
  <c r="G27" i="1" s="1"/>
  <c r="E28" i="1"/>
  <c r="E28" i="2"/>
  <c r="F27" i="2"/>
  <c r="G27" i="2" s="1"/>
  <c r="F28" i="3"/>
  <c r="G28" i="3" s="1"/>
  <c r="E29" i="3"/>
  <c r="F28" i="4" l="1"/>
  <c r="G28" i="4" s="1"/>
  <c r="E29" i="4"/>
  <c r="E29" i="1"/>
  <c r="F28" i="1"/>
  <c r="G28" i="1" s="1"/>
  <c r="E29" i="2"/>
  <c r="F28" i="2"/>
  <c r="G28" i="2" s="1"/>
  <c r="E30" i="3"/>
  <c r="F29" i="3"/>
  <c r="G29" i="3" s="1"/>
  <c r="F29" i="4" l="1"/>
  <c r="G29" i="4" s="1"/>
  <c r="E30" i="4"/>
  <c r="F29" i="1"/>
  <c r="G29" i="1" s="1"/>
  <c r="E30" i="1"/>
  <c r="F29" i="2"/>
  <c r="G29" i="2" s="1"/>
  <c r="E30" i="2"/>
  <c r="E31" i="3"/>
  <c r="F30" i="3"/>
  <c r="G30" i="3" s="1"/>
  <c r="F30" i="4" l="1"/>
  <c r="G30" i="4" s="1"/>
  <c r="E31" i="4"/>
  <c r="E31" i="1"/>
  <c r="F30" i="1"/>
  <c r="G30" i="1" s="1"/>
  <c r="E31" i="2"/>
  <c r="F30" i="2"/>
  <c r="G30" i="2" s="1"/>
  <c r="E32" i="3"/>
  <c r="F31" i="3"/>
  <c r="G31" i="3" s="1"/>
  <c r="F31" i="4" l="1"/>
  <c r="G31" i="4" s="1"/>
  <c r="E32" i="4"/>
  <c r="E32" i="1"/>
  <c r="F31" i="1"/>
  <c r="G31" i="1" s="1"/>
  <c r="E32" i="2"/>
  <c r="F31" i="2"/>
  <c r="G31" i="2" s="1"/>
  <c r="F32" i="3"/>
  <c r="G32" i="3" s="1"/>
  <c r="E33" i="3"/>
  <c r="F32" i="4" l="1"/>
  <c r="G32" i="4" s="1"/>
  <c r="E33" i="4"/>
  <c r="E33" i="1"/>
  <c r="F32" i="1"/>
  <c r="G32" i="1" s="1"/>
  <c r="E33" i="2"/>
  <c r="F32" i="2"/>
  <c r="G32" i="2" s="1"/>
  <c r="F33" i="3"/>
  <c r="G33" i="3" s="1"/>
  <c r="E34" i="3"/>
  <c r="F33" i="4" l="1"/>
  <c r="G33" i="4" s="1"/>
  <c r="E34" i="4"/>
  <c r="E34" i="1"/>
  <c r="F33" i="1"/>
  <c r="G33" i="1" s="1"/>
  <c r="E34" i="2"/>
  <c r="F33" i="2"/>
  <c r="G33" i="2" s="1"/>
  <c r="F34" i="3"/>
  <c r="G34" i="3" s="1"/>
  <c r="E35" i="3"/>
  <c r="F34" i="4" l="1"/>
  <c r="G34" i="4" s="1"/>
  <c r="E35" i="4"/>
  <c r="E35" i="1"/>
  <c r="F34" i="1"/>
  <c r="G34" i="1" s="1"/>
  <c r="E35" i="2"/>
  <c r="F34" i="2"/>
  <c r="G34" i="2" s="1"/>
  <c r="F35" i="3"/>
  <c r="G35" i="3" s="1"/>
  <c r="E36" i="3"/>
  <c r="E36" i="4" l="1"/>
  <c r="F35" i="4"/>
  <c r="G35" i="4" s="1"/>
  <c r="E36" i="1"/>
  <c r="F35" i="1"/>
  <c r="G35" i="1" s="1"/>
  <c r="E36" i="2"/>
  <c r="F35" i="2"/>
  <c r="G35" i="2" s="1"/>
  <c r="F36" i="3"/>
  <c r="G36" i="3" s="1"/>
  <c r="E37" i="3"/>
  <c r="F36" i="4" l="1"/>
  <c r="G36" i="4" s="1"/>
  <c r="E37" i="4"/>
  <c r="E37" i="1"/>
  <c r="F36" i="1"/>
  <c r="G36" i="1" s="1"/>
  <c r="E37" i="2"/>
  <c r="F36" i="2"/>
  <c r="G36" i="2" s="1"/>
  <c r="E38" i="3"/>
  <c r="F37" i="3"/>
  <c r="G37" i="3" s="1"/>
  <c r="F37" i="4" l="1"/>
  <c r="G37" i="4" s="1"/>
  <c r="E38" i="4"/>
  <c r="E38" i="1"/>
  <c r="F37" i="1"/>
  <c r="G37" i="1" s="1"/>
  <c r="E38" i="2"/>
  <c r="F37" i="2"/>
  <c r="G37" i="2" s="1"/>
  <c r="F38" i="3"/>
  <c r="G38" i="3" s="1"/>
  <c r="E39" i="3"/>
  <c r="E39" i="4" l="1"/>
  <c r="F38" i="4"/>
  <c r="G38" i="4" s="1"/>
  <c r="E39" i="1"/>
  <c r="F38" i="1"/>
  <c r="G38" i="1" s="1"/>
  <c r="E39" i="2"/>
  <c r="F38" i="2"/>
  <c r="G38" i="2" s="1"/>
  <c r="F39" i="3"/>
  <c r="G39" i="3" s="1"/>
  <c r="E40" i="3"/>
  <c r="F39" i="4" l="1"/>
  <c r="G39" i="4" s="1"/>
  <c r="E40" i="4"/>
  <c r="E40" i="1"/>
  <c r="F39" i="1"/>
  <c r="G39" i="1" s="1"/>
  <c r="F39" i="2"/>
  <c r="G39" i="2" s="1"/>
  <c r="E40" i="2"/>
  <c r="F40" i="3"/>
  <c r="G40" i="3" s="1"/>
  <c r="E41" i="3"/>
  <c r="E41" i="4" l="1"/>
  <c r="F40" i="4"/>
  <c r="G40" i="4" s="1"/>
  <c r="E41" i="1"/>
  <c r="F40" i="1"/>
  <c r="G40" i="1" s="1"/>
  <c r="E41" i="2"/>
  <c r="F40" i="2"/>
  <c r="G40" i="2" s="1"/>
  <c r="F41" i="3"/>
  <c r="G41" i="3" s="1"/>
  <c r="E42" i="3"/>
  <c r="E42" i="4" l="1"/>
  <c r="F41" i="4"/>
  <c r="G41" i="4" s="1"/>
  <c r="E42" i="1"/>
  <c r="F41" i="1"/>
  <c r="G41" i="1" s="1"/>
  <c r="E42" i="2"/>
  <c r="F41" i="2"/>
  <c r="G41" i="2" s="1"/>
  <c r="E43" i="3"/>
  <c r="F42" i="3"/>
  <c r="G42" i="3" s="1"/>
  <c r="F42" i="4" l="1"/>
  <c r="G42" i="4" s="1"/>
  <c r="E43" i="4"/>
  <c r="E43" i="1"/>
  <c r="F42" i="1"/>
  <c r="G42" i="1" s="1"/>
  <c r="E43" i="2"/>
  <c r="F42" i="2"/>
  <c r="G42" i="2" s="1"/>
  <c r="E44" i="3"/>
  <c r="F43" i="3"/>
  <c r="G43" i="3" s="1"/>
  <c r="F43" i="4" l="1"/>
  <c r="G43" i="4" s="1"/>
  <c r="E44" i="4"/>
  <c r="E44" i="1"/>
  <c r="F43" i="1"/>
  <c r="G43" i="1" s="1"/>
  <c r="E44" i="2"/>
  <c r="F43" i="2"/>
  <c r="G43" i="2" s="1"/>
  <c r="F44" i="3"/>
  <c r="G44" i="3" s="1"/>
  <c r="E45" i="3"/>
  <c r="E45" i="4" l="1"/>
  <c r="F44" i="4"/>
  <c r="G44" i="4" s="1"/>
  <c r="E45" i="1"/>
  <c r="F44" i="1"/>
  <c r="G44" i="1" s="1"/>
  <c r="E45" i="2"/>
  <c r="F44" i="2"/>
  <c r="G44" i="2" s="1"/>
  <c r="F45" i="3"/>
  <c r="G45" i="3" s="1"/>
  <c r="E46" i="3"/>
  <c r="E46" i="4" l="1"/>
  <c r="F45" i="4"/>
  <c r="G45" i="4" s="1"/>
  <c r="E46" i="1"/>
  <c r="F45" i="1"/>
  <c r="G45" i="1" s="1"/>
  <c r="F45" i="2"/>
  <c r="G45" i="2" s="1"/>
  <c r="E46" i="2"/>
  <c r="F46" i="3"/>
  <c r="G46" i="3" s="1"/>
  <c r="E47" i="3"/>
  <c r="E47" i="4" l="1"/>
  <c r="F46" i="4"/>
  <c r="G46" i="4" s="1"/>
  <c r="E47" i="1"/>
  <c r="F46" i="1"/>
  <c r="G46" i="1" s="1"/>
  <c r="F46" i="2"/>
  <c r="G46" i="2" s="1"/>
  <c r="E47" i="2"/>
  <c r="E48" i="3"/>
  <c r="F47" i="3"/>
  <c r="G47" i="3" s="1"/>
  <c r="E48" i="4" l="1"/>
  <c r="F47" i="4"/>
  <c r="G47" i="4" s="1"/>
  <c r="E48" i="1"/>
  <c r="F47" i="1"/>
  <c r="G47" i="1" s="1"/>
  <c r="F47" i="2"/>
  <c r="G47" i="2" s="1"/>
  <c r="E48" i="2"/>
  <c r="F48" i="3"/>
  <c r="G48" i="3" s="1"/>
  <c r="E49" i="3"/>
  <c r="E49" i="4" l="1"/>
  <c r="F48" i="4"/>
  <c r="G48" i="4" s="1"/>
  <c r="E49" i="1"/>
  <c r="F48" i="1"/>
  <c r="G48" i="1" s="1"/>
  <c r="E49" i="2"/>
  <c r="F48" i="2"/>
  <c r="G48" i="2" s="1"/>
  <c r="F49" i="3"/>
  <c r="G49" i="3" s="1"/>
  <c r="E50" i="3"/>
  <c r="E50" i="4" l="1"/>
  <c r="F49" i="4"/>
  <c r="G49" i="4" s="1"/>
  <c r="E50" i="1"/>
  <c r="F49" i="1"/>
  <c r="G49" i="1" s="1"/>
  <c r="F49" i="2"/>
  <c r="G49" i="2" s="1"/>
  <c r="E50" i="2"/>
  <c r="F50" i="3"/>
  <c r="G50" i="3" s="1"/>
  <c r="E51" i="3"/>
  <c r="E51" i="4" l="1"/>
  <c r="F50" i="4"/>
  <c r="G50" i="4" s="1"/>
  <c r="E51" i="1"/>
  <c r="F50" i="1"/>
  <c r="G50" i="1" s="1"/>
  <c r="F50" i="2"/>
  <c r="G50" i="2" s="1"/>
  <c r="E51" i="2"/>
  <c r="F51" i="3"/>
  <c r="G51" i="3" s="1"/>
  <c r="E52" i="3"/>
  <c r="E52" i="4" l="1"/>
  <c r="F51" i="4"/>
  <c r="G51" i="4" s="1"/>
  <c r="E52" i="1"/>
  <c r="F51" i="1"/>
  <c r="G51" i="1" s="1"/>
  <c r="F51" i="2"/>
  <c r="G51" i="2" s="1"/>
  <c r="E52" i="2"/>
  <c r="F52" i="3"/>
  <c r="G52" i="3" s="1"/>
  <c r="E53" i="3"/>
  <c r="E53" i="4" l="1"/>
  <c r="F52" i="4"/>
  <c r="G52" i="4" s="1"/>
  <c r="E53" i="1"/>
  <c r="F52" i="1"/>
  <c r="G52" i="1" s="1"/>
  <c r="F52" i="2"/>
  <c r="G52" i="2" s="1"/>
  <c r="E53" i="2"/>
  <c r="F53" i="3"/>
  <c r="G53" i="3" s="1"/>
  <c r="E54" i="3"/>
  <c r="E54" i="4" l="1"/>
  <c r="F53" i="4"/>
  <c r="G53" i="4" s="1"/>
  <c r="E54" i="1"/>
  <c r="F53" i="1"/>
  <c r="G53" i="1" s="1"/>
  <c r="F53" i="2"/>
  <c r="G53" i="2" s="1"/>
  <c r="E54" i="2"/>
  <c r="F54" i="3"/>
  <c r="G54" i="3" s="1"/>
  <c r="E55" i="3"/>
  <c r="E55" i="4" l="1"/>
  <c r="F54" i="4"/>
  <c r="G54" i="4" s="1"/>
  <c r="E55" i="1"/>
  <c r="F54" i="1"/>
  <c r="G54" i="1" s="1"/>
  <c r="E55" i="2"/>
  <c r="F54" i="2"/>
  <c r="G54" i="2" s="1"/>
  <c r="F55" i="3"/>
  <c r="G55" i="3" s="1"/>
  <c r="E56" i="3"/>
  <c r="E56" i="4" l="1"/>
  <c r="F55" i="4"/>
  <c r="G55" i="4" s="1"/>
  <c r="E56" i="1"/>
  <c r="F55" i="1"/>
  <c r="G55" i="1" s="1"/>
  <c r="E56" i="2"/>
  <c r="F55" i="2"/>
  <c r="G55" i="2" s="1"/>
  <c r="F56" i="3"/>
  <c r="G56" i="3" s="1"/>
  <c r="E57" i="3"/>
  <c r="E57" i="4" l="1"/>
  <c r="F56" i="4"/>
  <c r="G56" i="4" s="1"/>
  <c r="E57" i="1"/>
  <c r="F56" i="1"/>
  <c r="G56" i="1" s="1"/>
  <c r="F56" i="2"/>
  <c r="G56" i="2" s="1"/>
  <c r="E57" i="2"/>
  <c r="E58" i="3"/>
  <c r="F57" i="3"/>
  <c r="G57" i="3" s="1"/>
  <c r="F57" i="4" l="1"/>
  <c r="G57" i="4" s="1"/>
  <c r="E58" i="4"/>
  <c r="E58" i="1"/>
  <c r="F57" i="1"/>
  <c r="G57" i="1" s="1"/>
  <c r="F57" i="2"/>
  <c r="G57" i="2" s="1"/>
  <c r="E58" i="2"/>
  <c r="F58" i="3"/>
  <c r="G58" i="3" s="1"/>
  <c r="E59" i="3"/>
  <c r="E59" i="4" l="1"/>
  <c r="F58" i="4"/>
  <c r="G58" i="4" s="1"/>
  <c r="E59" i="1"/>
  <c r="F58" i="1"/>
  <c r="G58" i="1" s="1"/>
  <c r="F58" i="2"/>
  <c r="G58" i="2" s="1"/>
  <c r="E59" i="2"/>
  <c r="E60" i="3"/>
  <c r="F59" i="3"/>
  <c r="G59" i="3" s="1"/>
  <c r="F59" i="4" l="1"/>
  <c r="G59" i="4" s="1"/>
  <c r="E60" i="4"/>
  <c r="E60" i="1"/>
  <c r="F59" i="1"/>
  <c r="G59" i="1" s="1"/>
  <c r="E60" i="2"/>
  <c r="F59" i="2"/>
  <c r="G59" i="2" s="1"/>
  <c r="F60" i="3"/>
  <c r="G60" i="3" s="1"/>
  <c r="E61" i="3"/>
  <c r="E61" i="4" l="1"/>
  <c r="F60" i="4"/>
  <c r="G60" i="4" s="1"/>
  <c r="E61" i="1"/>
  <c r="F60" i="1"/>
  <c r="G60" i="1" s="1"/>
  <c r="F60" i="2"/>
  <c r="G60" i="2" s="1"/>
  <c r="E61" i="2"/>
  <c r="F61" i="3"/>
  <c r="G61" i="3" s="1"/>
  <c r="E62" i="3"/>
  <c r="E62" i="4" l="1"/>
  <c r="F61" i="4"/>
  <c r="G61" i="4" s="1"/>
  <c r="E62" i="1"/>
  <c r="F61" i="1"/>
  <c r="G61" i="1" s="1"/>
  <c r="F61" i="2"/>
  <c r="G61" i="2" s="1"/>
  <c r="E62" i="2"/>
  <c r="F62" i="3"/>
  <c r="G62" i="3" s="1"/>
  <c r="E63" i="3"/>
  <c r="E63" i="4" l="1"/>
  <c r="F62" i="4"/>
  <c r="G62" i="4" s="1"/>
  <c r="F62" i="1"/>
  <c r="G62" i="1" s="1"/>
  <c r="E63" i="1"/>
  <c r="F62" i="2"/>
  <c r="G62" i="2" s="1"/>
  <c r="E63" i="2"/>
  <c r="F63" i="3"/>
  <c r="G63" i="3" s="1"/>
  <c r="E64" i="3"/>
  <c r="E64" i="4" l="1"/>
  <c r="F63" i="4"/>
  <c r="G63" i="4" s="1"/>
  <c r="E64" i="1"/>
  <c r="F63" i="1"/>
  <c r="G63" i="1" s="1"/>
  <c r="E64" i="2"/>
  <c r="F63" i="2"/>
  <c r="G63" i="2" s="1"/>
  <c r="F64" i="3"/>
  <c r="G64" i="3" s="1"/>
  <c r="E65" i="3"/>
  <c r="F64" i="4" l="1"/>
  <c r="G64" i="4" s="1"/>
  <c r="E65" i="4"/>
  <c r="F64" i="1"/>
  <c r="G64" i="1" s="1"/>
  <c r="E65" i="1"/>
  <c r="F64" i="2"/>
  <c r="G64" i="2" s="1"/>
  <c r="E65" i="2"/>
  <c r="F65" i="3"/>
  <c r="G65" i="3" s="1"/>
  <c r="E66" i="3"/>
  <c r="E66" i="4" l="1"/>
  <c r="F65" i="4"/>
  <c r="G65" i="4" s="1"/>
  <c r="E66" i="1"/>
  <c r="F65" i="1"/>
  <c r="G65" i="1" s="1"/>
  <c r="F65" i="2"/>
  <c r="G65" i="2" s="1"/>
  <c r="E66" i="2"/>
  <c r="F66" i="3"/>
  <c r="G66" i="3" s="1"/>
  <c r="E67" i="3"/>
  <c r="F66" i="4" l="1"/>
  <c r="G66" i="4" s="1"/>
  <c r="E67" i="4"/>
  <c r="E67" i="1"/>
  <c r="F66" i="1"/>
  <c r="G66" i="1" s="1"/>
  <c r="F66" i="2"/>
  <c r="G66" i="2" s="1"/>
  <c r="E67" i="2"/>
  <c r="F67" i="3"/>
  <c r="G67" i="3" s="1"/>
  <c r="E68" i="3"/>
  <c r="E68" i="4" l="1"/>
  <c r="F67" i="4"/>
  <c r="G67" i="4" s="1"/>
  <c r="E68" i="1"/>
  <c r="F67" i="1"/>
  <c r="G67" i="1" s="1"/>
  <c r="F67" i="2"/>
  <c r="G67" i="2" s="1"/>
  <c r="E68" i="2"/>
  <c r="F68" i="3"/>
  <c r="G68" i="3" s="1"/>
  <c r="E69" i="3"/>
  <c r="F68" i="4" l="1"/>
  <c r="G68" i="4" s="1"/>
  <c r="E69" i="4"/>
  <c r="F68" i="1"/>
  <c r="G68" i="1" s="1"/>
  <c r="E69" i="1"/>
  <c r="F68" i="2"/>
  <c r="G68" i="2" s="1"/>
  <c r="E69" i="2"/>
  <c r="E70" i="3"/>
  <c r="F69" i="3"/>
  <c r="G69" i="3" s="1"/>
  <c r="E70" i="4" l="1"/>
  <c r="F69" i="4"/>
  <c r="G69" i="4" s="1"/>
  <c r="E70" i="1"/>
  <c r="F69" i="1"/>
  <c r="G69" i="1" s="1"/>
  <c r="F69" i="2"/>
  <c r="G69" i="2" s="1"/>
  <c r="E70" i="2"/>
  <c r="F70" i="3"/>
  <c r="G70" i="3" s="1"/>
  <c r="E71" i="3"/>
  <c r="E71" i="4" l="1"/>
  <c r="F70" i="4"/>
  <c r="G70" i="4" s="1"/>
  <c r="E71" i="1"/>
  <c r="F70" i="1"/>
  <c r="G70" i="1" s="1"/>
  <c r="E71" i="2"/>
  <c r="F70" i="2"/>
  <c r="G70" i="2" s="1"/>
  <c r="F71" i="3"/>
  <c r="G71" i="3" s="1"/>
  <c r="E72" i="3"/>
  <c r="E72" i="4" l="1"/>
  <c r="F71" i="4"/>
  <c r="G71" i="4" s="1"/>
  <c r="E72" i="1"/>
  <c r="F71" i="1"/>
  <c r="G71" i="1" s="1"/>
  <c r="F71" i="2"/>
  <c r="G71" i="2" s="1"/>
  <c r="E72" i="2"/>
  <c r="F72" i="3"/>
  <c r="G72" i="3" s="1"/>
  <c r="E73" i="3"/>
  <c r="E73" i="4" l="1"/>
  <c r="F72" i="4"/>
  <c r="G72" i="4" s="1"/>
  <c r="E73" i="1"/>
  <c r="F72" i="1"/>
  <c r="G72" i="1" s="1"/>
  <c r="E73" i="2"/>
  <c r="F72" i="2"/>
  <c r="G72" i="2" s="1"/>
  <c r="F73" i="3"/>
  <c r="G73" i="3" s="1"/>
  <c r="E74" i="3"/>
  <c r="F73" i="4" l="1"/>
  <c r="G73" i="4" s="1"/>
  <c r="E74" i="4"/>
  <c r="E74" i="1"/>
  <c r="F73" i="1"/>
  <c r="G73" i="1" s="1"/>
  <c r="E74" i="2"/>
  <c r="F73" i="2"/>
  <c r="G73" i="2" s="1"/>
  <c r="F74" i="3"/>
  <c r="G74" i="3" s="1"/>
  <c r="E75" i="3"/>
  <c r="E75" i="4" l="1"/>
  <c r="F74" i="4"/>
  <c r="G74" i="4" s="1"/>
  <c r="E75" i="1"/>
  <c r="F74" i="1"/>
  <c r="G74" i="1" s="1"/>
  <c r="E75" i="2"/>
  <c r="F74" i="2"/>
  <c r="G74" i="2" s="1"/>
  <c r="F75" i="3"/>
  <c r="G75" i="3" s="1"/>
  <c r="E76" i="3"/>
  <c r="F75" i="4" l="1"/>
  <c r="G75" i="4" s="1"/>
  <c r="E76" i="4"/>
  <c r="E76" i="1"/>
  <c r="F75" i="1"/>
  <c r="G75" i="1" s="1"/>
  <c r="E76" i="2"/>
  <c r="F75" i="2"/>
  <c r="G75" i="2" s="1"/>
  <c r="F76" i="3"/>
  <c r="G76" i="3" s="1"/>
  <c r="E77" i="3"/>
  <c r="E77" i="4" l="1"/>
  <c r="F76" i="4"/>
  <c r="G76" i="4" s="1"/>
  <c r="E77" i="1"/>
  <c r="F76" i="1"/>
  <c r="G76" i="1" s="1"/>
  <c r="E77" i="2"/>
  <c r="F76" i="2"/>
  <c r="G76" i="2" s="1"/>
  <c r="E78" i="3"/>
  <c r="F77" i="3"/>
  <c r="G77" i="3" s="1"/>
  <c r="E78" i="4" l="1"/>
  <c r="F77" i="4"/>
  <c r="G77" i="4" s="1"/>
  <c r="E78" i="1"/>
  <c r="F77" i="1"/>
  <c r="G77" i="1" s="1"/>
  <c r="F77" i="2"/>
  <c r="G77" i="2" s="1"/>
  <c r="E78" i="2"/>
  <c r="F78" i="3"/>
  <c r="G78" i="3" s="1"/>
  <c r="E79" i="3"/>
  <c r="E79" i="4" l="1"/>
  <c r="F78" i="4"/>
  <c r="G78" i="4" s="1"/>
  <c r="E79" i="1"/>
  <c r="F78" i="1"/>
  <c r="G78" i="1" s="1"/>
  <c r="E79" i="2"/>
  <c r="F78" i="2"/>
  <c r="G78" i="2" s="1"/>
  <c r="F79" i="3"/>
  <c r="G79" i="3" s="1"/>
  <c r="E80" i="3"/>
  <c r="E80" i="4" l="1"/>
  <c r="F79" i="4"/>
  <c r="G79" i="4" s="1"/>
  <c r="E80" i="1"/>
  <c r="F79" i="1"/>
  <c r="G79" i="1" s="1"/>
  <c r="E80" i="2"/>
  <c r="F79" i="2"/>
  <c r="G79" i="2" s="1"/>
  <c r="F80" i="3"/>
  <c r="G80" i="3" s="1"/>
  <c r="E81" i="3"/>
  <c r="E81" i="4" l="1"/>
  <c r="F80" i="4"/>
  <c r="G80" i="4" s="1"/>
  <c r="E81" i="1"/>
  <c r="F80" i="1"/>
  <c r="G80" i="1" s="1"/>
  <c r="E81" i="2"/>
  <c r="F80" i="2"/>
  <c r="G80" i="2" s="1"/>
  <c r="F81" i="3"/>
  <c r="G81" i="3" s="1"/>
  <c r="E82" i="3"/>
  <c r="E82" i="4" l="1"/>
  <c r="F81" i="4"/>
  <c r="G81" i="4" s="1"/>
  <c r="E82" i="1"/>
  <c r="F81" i="1"/>
  <c r="G81" i="1" s="1"/>
  <c r="E82" i="2"/>
  <c r="F81" i="2"/>
  <c r="G81" i="2" s="1"/>
  <c r="F82" i="3"/>
  <c r="G82" i="3" s="1"/>
  <c r="E83" i="3"/>
  <c r="E83" i="4" l="1"/>
  <c r="F82" i="4"/>
  <c r="G82" i="4" s="1"/>
  <c r="E83" i="1"/>
  <c r="F82" i="1"/>
  <c r="G82" i="1" s="1"/>
  <c r="E83" i="2"/>
  <c r="F82" i="2"/>
  <c r="G82" i="2" s="1"/>
  <c r="E84" i="3"/>
  <c r="F83" i="3"/>
  <c r="G83" i="3" s="1"/>
  <c r="F83" i="4" l="1"/>
  <c r="G83" i="4" s="1"/>
  <c r="E84" i="4"/>
  <c r="E84" i="1"/>
  <c r="F83" i="1"/>
  <c r="G83" i="1" s="1"/>
  <c r="E84" i="2"/>
  <c r="F83" i="2"/>
  <c r="G83" i="2" s="1"/>
  <c r="F84" i="3"/>
  <c r="G84" i="3" s="1"/>
  <c r="E85" i="3"/>
  <c r="E85" i="4" l="1"/>
  <c r="F84" i="4"/>
  <c r="G84" i="4" s="1"/>
  <c r="E85" i="1"/>
  <c r="F84" i="1"/>
  <c r="G84" i="1" s="1"/>
  <c r="E85" i="2"/>
  <c r="F84" i="2"/>
  <c r="G84" i="2" s="1"/>
  <c r="E86" i="3"/>
  <c r="F85" i="3"/>
  <c r="G85" i="3" s="1"/>
  <c r="F85" i="4" l="1"/>
  <c r="G85" i="4" s="1"/>
  <c r="E86" i="4"/>
  <c r="E86" i="1"/>
  <c r="F85" i="1"/>
  <c r="G85" i="1" s="1"/>
  <c r="F85" i="2"/>
  <c r="G85" i="2" s="1"/>
  <c r="E86" i="2"/>
  <c r="F86" i="3"/>
  <c r="G86" i="3" s="1"/>
  <c r="E87" i="3"/>
  <c r="E87" i="4" l="1"/>
  <c r="F86" i="4"/>
  <c r="G86" i="4" s="1"/>
  <c r="E87" i="1"/>
  <c r="F86" i="1"/>
  <c r="G86" i="1" s="1"/>
  <c r="E87" i="2"/>
  <c r="F86" i="2"/>
  <c r="G86" i="2" s="1"/>
  <c r="F87" i="3"/>
  <c r="G87" i="3" s="1"/>
  <c r="E88" i="3"/>
  <c r="F87" i="4" l="1"/>
  <c r="G87" i="4" s="1"/>
  <c r="E88" i="4"/>
  <c r="E88" i="1"/>
  <c r="F87" i="1"/>
  <c r="G87" i="1" s="1"/>
  <c r="E88" i="2"/>
  <c r="F87" i="2"/>
  <c r="G87" i="2" s="1"/>
  <c r="F88" i="3"/>
  <c r="G88" i="3" s="1"/>
  <c r="E89" i="3"/>
  <c r="F88" i="4" l="1"/>
  <c r="G88" i="4" s="1"/>
  <c r="E89" i="4"/>
  <c r="E89" i="1"/>
  <c r="F88" i="1"/>
  <c r="G88" i="1" s="1"/>
  <c r="E89" i="2"/>
  <c r="F88" i="2"/>
  <c r="G88" i="2" s="1"/>
  <c r="F89" i="3"/>
  <c r="G89" i="3" s="1"/>
  <c r="E90" i="3"/>
  <c r="F89" i="4" l="1"/>
  <c r="G89" i="4" s="1"/>
  <c r="E90" i="4"/>
  <c r="E90" i="1"/>
  <c r="F89" i="1"/>
  <c r="G89" i="1" s="1"/>
  <c r="F89" i="2"/>
  <c r="G89" i="2" s="1"/>
  <c r="E90" i="2"/>
  <c r="F90" i="3"/>
  <c r="G90" i="3" s="1"/>
  <c r="E91" i="3"/>
  <c r="F90" i="4" l="1"/>
  <c r="G90" i="4" s="1"/>
  <c r="E91" i="4"/>
  <c r="E91" i="1"/>
  <c r="F90" i="1"/>
  <c r="G90" i="1" s="1"/>
  <c r="E91" i="2"/>
  <c r="F90" i="2"/>
  <c r="G90" i="2" s="1"/>
  <c r="E92" i="3"/>
  <c r="F91" i="3"/>
  <c r="G91" i="3" s="1"/>
  <c r="F91" i="4" l="1"/>
  <c r="G91" i="4" s="1"/>
  <c r="E92" i="4"/>
  <c r="E92" i="1"/>
  <c r="F91" i="1"/>
  <c r="G91" i="1" s="1"/>
  <c r="F91" i="2"/>
  <c r="G91" i="2" s="1"/>
  <c r="E92" i="2"/>
  <c r="F92" i="3"/>
  <c r="G92" i="3" s="1"/>
  <c r="E93" i="3"/>
  <c r="F92" i="4" l="1"/>
  <c r="G92" i="4" s="1"/>
  <c r="E93" i="4"/>
  <c r="E93" i="1"/>
  <c r="F92" i="1"/>
  <c r="G92" i="1" s="1"/>
  <c r="E93" i="2"/>
  <c r="F92" i="2"/>
  <c r="G92" i="2" s="1"/>
  <c r="F93" i="3"/>
  <c r="G93" i="3" s="1"/>
  <c r="E94" i="3"/>
  <c r="F93" i="4" l="1"/>
  <c r="G93" i="4" s="1"/>
  <c r="E94" i="4"/>
  <c r="E94" i="1"/>
  <c r="F93" i="1"/>
  <c r="G93" i="1" s="1"/>
  <c r="E94" i="2"/>
  <c r="F93" i="2"/>
  <c r="G93" i="2" s="1"/>
  <c r="F94" i="3"/>
  <c r="G94" i="3" s="1"/>
  <c r="E95" i="3"/>
  <c r="F94" i="4" l="1"/>
  <c r="G94" i="4" s="1"/>
  <c r="E95" i="4"/>
  <c r="E95" i="1"/>
  <c r="F94" i="1"/>
  <c r="G94" i="1" s="1"/>
  <c r="E95" i="2"/>
  <c r="F94" i="2"/>
  <c r="G94" i="2" s="1"/>
  <c r="E96" i="3"/>
  <c r="F95" i="3"/>
  <c r="G95" i="3" s="1"/>
  <c r="F95" i="4" l="1"/>
  <c r="G95" i="4" s="1"/>
  <c r="E96" i="4"/>
  <c r="E96" i="1"/>
  <c r="F95" i="1"/>
  <c r="G95" i="1" s="1"/>
  <c r="F95" i="2"/>
  <c r="G95" i="2" s="1"/>
  <c r="E96" i="2"/>
  <c r="F96" i="3"/>
  <c r="G96" i="3" s="1"/>
  <c r="E97" i="3"/>
  <c r="F96" i="4" l="1"/>
  <c r="G96" i="4" s="1"/>
  <c r="E97" i="4"/>
  <c r="E97" i="1"/>
  <c r="F96" i="1"/>
  <c r="G96" i="1" s="1"/>
  <c r="F96" i="2"/>
  <c r="G96" i="2" s="1"/>
  <c r="E97" i="2"/>
  <c r="E98" i="3"/>
  <c r="F97" i="3"/>
  <c r="G97" i="3" s="1"/>
  <c r="F97" i="4" l="1"/>
  <c r="G97" i="4" s="1"/>
  <c r="E98" i="4"/>
  <c r="E98" i="1"/>
  <c r="F97" i="1"/>
  <c r="G97" i="1" s="1"/>
  <c r="F97" i="2"/>
  <c r="G97" i="2" s="1"/>
  <c r="E98" i="2"/>
  <c r="F98" i="3"/>
  <c r="G98" i="3" s="1"/>
  <c r="E99" i="3"/>
  <c r="E99" i="4" l="1"/>
  <c r="F98" i="4"/>
  <c r="G98" i="4" s="1"/>
  <c r="E99" i="1"/>
  <c r="F98" i="1"/>
  <c r="G98" i="1" s="1"/>
  <c r="E99" i="2"/>
  <c r="F98" i="2"/>
  <c r="G98" i="2" s="1"/>
  <c r="F99" i="3"/>
  <c r="G99" i="3" s="1"/>
  <c r="E100" i="3"/>
  <c r="F99" i="4" l="1"/>
  <c r="G99" i="4" s="1"/>
  <c r="E100" i="4"/>
  <c r="E100" i="1"/>
  <c r="F99" i="1"/>
  <c r="G99" i="1" s="1"/>
  <c r="F99" i="2"/>
  <c r="G99" i="2" s="1"/>
  <c r="E100" i="2"/>
  <c r="F100" i="3"/>
  <c r="G100" i="3" s="1"/>
  <c r="E101" i="3"/>
  <c r="F100" i="4" l="1"/>
  <c r="G100" i="4" s="1"/>
  <c r="E101" i="4"/>
  <c r="E101" i="1"/>
  <c r="F100" i="1"/>
  <c r="G100" i="1" s="1"/>
  <c r="E101" i="2"/>
  <c r="F100" i="2"/>
  <c r="G100" i="2" s="1"/>
  <c r="E102" i="3"/>
  <c r="F101" i="3"/>
  <c r="G101" i="3" s="1"/>
  <c r="F101" i="4" l="1"/>
  <c r="G101" i="4" s="1"/>
  <c r="E102" i="4"/>
  <c r="E102" i="1"/>
  <c r="F101" i="1"/>
  <c r="G101" i="1" s="1"/>
  <c r="E102" i="2"/>
  <c r="F101" i="2"/>
  <c r="G101" i="2" s="1"/>
  <c r="F102" i="3"/>
  <c r="G102" i="3" s="1"/>
  <c r="E103" i="3"/>
  <c r="F102" i="4" l="1"/>
  <c r="G102" i="4" s="1"/>
  <c r="E103" i="4"/>
  <c r="E103" i="1"/>
  <c r="F102" i="1"/>
  <c r="G102" i="1" s="1"/>
  <c r="E103" i="2"/>
  <c r="F102" i="2"/>
  <c r="G102" i="2" s="1"/>
  <c r="E104" i="3"/>
  <c r="F103" i="3"/>
  <c r="G103" i="3" s="1"/>
  <c r="F103" i="4" l="1"/>
  <c r="G103" i="4" s="1"/>
  <c r="E104" i="4"/>
  <c r="E104" i="1"/>
  <c r="F103" i="1"/>
  <c r="G103" i="1" s="1"/>
  <c r="F103" i="2"/>
  <c r="G103" i="2" s="1"/>
  <c r="E104" i="2"/>
  <c r="F104" i="3"/>
  <c r="G104" i="3" s="1"/>
  <c r="E105" i="3"/>
  <c r="F104" i="4" l="1"/>
  <c r="G104" i="4" s="1"/>
  <c r="E105" i="4"/>
  <c r="E105" i="1"/>
  <c r="F104" i="1"/>
  <c r="G104" i="1" s="1"/>
  <c r="E105" i="2"/>
  <c r="F104" i="2"/>
  <c r="G104" i="2" s="1"/>
  <c r="E106" i="3"/>
  <c r="F105" i="3"/>
  <c r="G105" i="3" s="1"/>
  <c r="E106" i="4" l="1"/>
  <c r="F105" i="4"/>
  <c r="G105" i="4" s="1"/>
  <c r="E106" i="1"/>
  <c r="F105" i="1"/>
  <c r="G105" i="1" s="1"/>
  <c r="E106" i="2"/>
  <c r="F105" i="2"/>
  <c r="G105" i="2" s="1"/>
  <c r="F106" i="3"/>
  <c r="G106" i="3" s="1"/>
  <c r="E107" i="3"/>
  <c r="F106" i="4" l="1"/>
  <c r="G106" i="4" s="1"/>
  <c r="E107" i="4"/>
  <c r="E107" i="1"/>
  <c r="F106" i="1"/>
  <c r="G106" i="1" s="1"/>
  <c r="E107" i="2"/>
  <c r="F106" i="2"/>
  <c r="G106" i="2" s="1"/>
  <c r="F107" i="3"/>
  <c r="G107" i="3" s="1"/>
  <c r="E108" i="3"/>
  <c r="F107" i="4" l="1"/>
  <c r="G107" i="4" s="1"/>
  <c r="E108" i="4"/>
  <c r="E108" i="1"/>
  <c r="F107" i="1"/>
  <c r="G107" i="1" s="1"/>
  <c r="F107" i="2"/>
  <c r="G107" i="2" s="1"/>
  <c r="E108" i="2"/>
  <c r="F108" i="3"/>
  <c r="G108" i="3" s="1"/>
  <c r="E109" i="3"/>
  <c r="F108" i="4" l="1"/>
  <c r="G108" i="4" s="1"/>
  <c r="E109" i="4"/>
  <c r="E109" i="1"/>
  <c r="F108" i="1"/>
  <c r="G108" i="1" s="1"/>
  <c r="E109" i="2"/>
  <c r="F108" i="2"/>
  <c r="G108" i="2" s="1"/>
  <c r="E110" i="3"/>
  <c r="F109" i="3"/>
  <c r="G109" i="3" s="1"/>
  <c r="F109" i="4" l="1"/>
  <c r="G109" i="4" s="1"/>
  <c r="E110" i="4"/>
  <c r="F109" i="1"/>
  <c r="G109" i="1" s="1"/>
  <c r="E110" i="1"/>
  <c r="E110" i="2"/>
  <c r="F109" i="2"/>
  <c r="G109" i="2" s="1"/>
  <c r="F110" i="3"/>
  <c r="G110" i="3" s="1"/>
  <c r="E111" i="3"/>
  <c r="F110" i="4" l="1"/>
  <c r="G110" i="4" s="1"/>
  <c r="E111" i="4"/>
  <c r="E111" i="1"/>
  <c r="F110" i="1"/>
  <c r="G110" i="1" s="1"/>
  <c r="E111" i="2"/>
  <c r="F110" i="2"/>
  <c r="G110" i="2" s="1"/>
  <c r="F111" i="3"/>
  <c r="G111" i="3" s="1"/>
  <c r="E112" i="3"/>
  <c r="F111" i="4" l="1"/>
  <c r="G111" i="4" s="1"/>
  <c r="E112" i="4"/>
  <c r="F111" i="1"/>
  <c r="G111" i="1" s="1"/>
  <c r="E112" i="1"/>
  <c r="E112" i="2"/>
  <c r="F111" i="2"/>
  <c r="G111" i="2" s="1"/>
  <c r="F112" i="3"/>
  <c r="G112" i="3" s="1"/>
  <c r="E113" i="3"/>
  <c r="F112" i="4" l="1"/>
  <c r="G112" i="4" s="1"/>
  <c r="E113" i="4"/>
  <c r="E113" i="1"/>
  <c r="F112" i="1"/>
  <c r="G112" i="1" s="1"/>
  <c r="E113" i="2"/>
  <c r="F112" i="2"/>
  <c r="G112" i="2" s="1"/>
  <c r="E114" i="3"/>
  <c r="F113" i="3"/>
  <c r="G113" i="3" s="1"/>
  <c r="F113" i="4" l="1"/>
  <c r="G113" i="4" s="1"/>
  <c r="E114" i="4"/>
  <c r="E114" i="1"/>
  <c r="F113" i="1"/>
  <c r="G113" i="1" s="1"/>
  <c r="F113" i="2"/>
  <c r="G113" i="2" s="1"/>
  <c r="E114" i="2"/>
  <c r="F114" i="3"/>
  <c r="G114" i="3" s="1"/>
  <c r="E115" i="3"/>
  <c r="F114" i="4" l="1"/>
  <c r="G114" i="4" s="1"/>
  <c r="E115" i="4"/>
  <c r="E115" i="1"/>
  <c r="F114" i="1"/>
  <c r="G114" i="1" s="1"/>
  <c r="E115" i="2"/>
  <c r="F114" i="2"/>
  <c r="G114" i="2" s="1"/>
  <c r="F115" i="3"/>
  <c r="G115" i="3" s="1"/>
  <c r="E116" i="3"/>
  <c r="E116" i="4" l="1"/>
  <c r="F115" i="4"/>
  <c r="G115" i="4" s="1"/>
  <c r="E116" i="1"/>
  <c r="F115" i="1"/>
  <c r="G115" i="1" s="1"/>
  <c r="F115" i="2"/>
  <c r="G115" i="2" s="1"/>
  <c r="E116" i="2"/>
  <c r="F116" i="3"/>
  <c r="G116" i="3" s="1"/>
  <c r="E117" i="3"/>
  <c r="F116" i="4" l="1"/>
  <c r="G116" i="4" s="1"/>
  <c r="E117" i="4"/>
  <c r="E117" i="1"/>
  <c r="F116" i="1"/>
  <c r="G116" i="1" s="1"/>
  <c r="E117" i="2"/>
  <c r="F116" i="2"/>
  <c r="G116" i="2" s="1"/>
  <c r="F117" i="3"/>
  <c r="G117" i="3" s="1"/>
  <c r="E118" i="3"/>
  <c r="E118" i="4" l="1"/>
  <c r="F117" i="4"/>
  <c r="G117" i="4" s="1"/>
  <c r="E118" i="1"/>
  <c r="F117" i="1"/>
  <c r="G117" i="1" s="1"/>
  <c r="E118" i="2"/>
  <c r="F117" i="2"/>
  <c r="G117" i="2" s="1"/>
  <c r="F118" i="3"/>
  <c r="G118" i="3" s="1"/>
  <c r="E119" i="3"/>
  <c r="E119" i="4" l="1"/>
  <c r="F118" i="4"/>
  <c r="G118" i="4" s="1"/>
  <c r="E119" i="1"/>
  <c r="F118" i="1"/>
  <c r="G118" i="1" s="1"/>
  <c r="E119" i="2"/>
  <c r="F118" i="2"/>
  <c r="G118" i="2" s="1"/>
  <c r="E120" i="3"/>
  <c r="F119" i="3"/>
  <c r="G119" i="3" s="1"/>
  <c r="E120" i="4" l="1"/>
  <c r="F119" i="4"/>
  <c r="G119" i="4" s="1"/>
  <c r="E120" i="1"/>
  <c r="F119" i="1"/>
  <c r="G119" i="1" s="1"/>
  <c r="E120" i="2"/>
  <c r="F119" i="2"/>
  <c r="G119" i="2" s="1"/>
  <c r="F120" i="3"/>
  <c r="G120" i="3" s="1"/>
  <c r="E121" i="3"/>
  <c r="F120" i="4" l="1"/>
  <c r="G120" i="4" s="1"/>
  <c r="E121" i="4"/>
  <c r="E121" i="1"/>
  <c r="F120" i="1"/>
  <c r="G120" i="1" s="1"/>
  <c r="E121" i="2"/>
  <c r="F120" i="2"/>
  <c r="G120" i="2" s="1"/>
  <c r="F121" i="3"/>
  <c r="G121" i="3" s="1"/>
  <c r="E122" i="3"/>
  <c r="E122" i="4" l="1"/>
  <c r="F121" i="4"/>
  <c r="G121" i="4" s="1"/>
  <c r="E122" i="1"/>
  <c r="F121" i="1"/>
  <c r="G121" i="1" s="1"/>
  <c r="E122" i="2"/>
  <c r="F121" i="2"/>
  <c r="G121" i="2" s="1"/>
  <c r="F122" i="3"/>
  <c r="G122" i="3" s="1"/>
  <c r="E123" i="3"/>
  <c r="F122" i="4" l="1"/>
  <c r="G122" i="4" s="1"/>
  <c r="E123" i="4"/>
  <c r="E123" i="1"/>
  <c r="F122" i="1"/>
  <c r="G122" i="1" s="1"/>
  <c r="F122" i="2"/>
  <c r="G122" i="2" s="1"/>
  <c r="E123" i="2"/>
  <c r="F123" i="3"/>
  <c r="G123" i="3" s="1"/>
  <c r="E124" i="3"/>
  <c r="F123" i="4" l="1"/>
  <c r="G123" i="4" s="1"/>
  <c r="E124" i="4"/>
  <c r="E124" i="1"/>
  <c r="F123" i="1"/>
  <c r="G123" i="1" s="1"/>
  <c r="E124" i="2"/>
  <c r="F123" i="2"/>
  <c r="G123" i="2" s="1"/>
  <c r="F124" i="3"/>
  <c r="G124" i="3" s="1"/>
  <c r="E125" i="3"/>
  <c r="F124" i="4" l="1"/>
  <c r="G124" i="4" s="1"/>
  <c r="E125" i="4"/>
  <c r="E125" i="1"/>
  <c r="F124" i="1"/>
  <c r="G124" i="1" s="1"/>
  <c r="E125" i="2"/>
  <c r="F124" i="2"/>
  <c r="G124" i="2" s="1"/>
  <c r="E126" i="3"/>
  <c r="F125" i="3"/>
  <c r="G125" i="3" s="1"/>
  <c r="E126" i="4" l="1"/>
  <c r="F125" i="4"/>
  <c r="G125" i="4" s="1"/>
  <c r="E126" i="1"/>
  <c r="F125" i="1"/>
  <c r="G125" i="1" s="1"/>
  <c r="E126" i="2"/>
  <c r="F125" i="2"/>
  <c r="G125" i="2" s="1"/>
  <c r="F126" i="3"/>
  <c r="G126" i="3" s="1"/>
  <c r="E127" i="3"/>
  <c r="E127" i="4" l="1"/>
  <c r="F126" i="4"/>
  <c r="G126" i="4" s="1"/>
  <c r="E127" i="1"/>
  <c r="F126" i="1"/>
  <c r="G126" i="1" s="1"/>
  <c r="E127" i="2"/>
  <c r="F126" i="2"/>
  <c r="G126" i="2" s="1"/>
  <c r="F127" i="3"/>
  <c r="G127" i="3" s="1"/>
  <c r="E128" i="3"/>
  <c r="E128" i="4" l="1"/>
  <c r="F127" i="4"/>
  <c r="G127" i="4" s="1"/>
  <c r="E128" i="1"/>
  <c r="F127" i="1"/>
  <c r="G127" i="1" s="1"/>
  <c r="E128" i="2"/>
  <c r="F127" i="2"/>
  <c r="G127" i="2" s="1"/>
  <c r="F128" i="3"/>
  <c r="G128" i="3" s="1"/>
  <c r="E129" i="3"/>
  <c r="E129" i="4" l="1"/>
  <c r="F128" i="4"/>
  <c r="G128" i="4" s="1"/>
  <c r="E129" i="1"/>
  <c r="F128" i="1"/>
  <c r="G128" i="1" s="1"/>
  <c r="F128" i="2"/>
  <c r="G128" i="2" s="1"/>
  <c r="E129" i="2"/>
  <c r="F129" i="3"/>
  <c r="G129" i="3" s="1"/>
  <c r="E130" i="3"/>
  <c r="E130" i="4" l="1"/>
  <c r="F129" i="4"/>
  <c r="G129" i="4" s="1"/>
  <c r="F129" i="1"/>
  <c r="G129" i="1" s="1"/>
  <c r="E130" i="1"/>
  <c r="F129" i="2"/>
  <c r="G129" i="2" s="1"/>
  <c r="E130" i="2"/>
  <c r="F130" i="3"/>
  <c r="G130" i="3" s="1"/>
  <c r="E131" i="3"/>
  <c r="E131" i="4" l="1"/>
  <c r="F130" i="4"/>
  <c r="G130" i="4" s="1"/>
  <c r="F130" i="1"/>
  <c r="G130" i="1" s="1"/>
  <c r="E131" i="1"/>
  <c r="F130" i="2"/>
  <c r="G130" i="2" s="1"/>
  <c r="E131" i="2"/>
  <c r="F131" i="3"/>
  <c r="G131" i="3" s="1"/>
  <c r="E132" i="3"/>
  <c r="E132" i="4" l="1"/>
  <c r="F131" i="4"/>
  <c r="G131" i="4" s="1"/>
  <c r="E132" i="1"/>
  <c r="F131" i="1"/>
  <c r="G131" i="1" s="1"/>
  <c r="F131" i="2"/>
  <c r="G131" i="2" s="1"/>
  <c r="E132" i="2"/>
  <c r="F132" i="3"/>
  <c r="G132" i="3" s="1"/>
  <c r="E133" i="3"/>
  <c r="E133" i="4" l="1"/>
  <c r="F132" i="4"/>
  <c r="G132" i="4" s="1"/>
  <c r="E133" i="1"/>
  <c r="F132" i="1"/>
  <c r="G132" i="1" s="1"/>
  <c r="F132" i="2"/>
  <c r="G132" i="2" s="1"/>
  <c r="E133" i="2"/>
  <c r="F133" i="3"/>
  <c r="G133" i="3" s="1"/>
  <c r="E134" i="3"/>
  <c r="E134" i="4" l="1"/>
  <c r="F133" i="4"/>
  <c r="G133" i="4" s="1"/>
  <c r="E134" i="1"/>
  <c r="F133" i="1"/>
  <c r="G133" i="1" s="1"/>
  <c r="F133" i="2"/>
  <c r="G133" i="2" s="1"/>
  <c r="E134" i="2"/>
  <c r="F134" i="3"/>
  <c r="G134" i="3" s="1"/>
  <c r="E135" i="3"/>
  <c r="E135" i="4" l="1"/>
  <c r="F134" i="4"/>
  <c r="G134" i="4" s="1"/>
  <c r="E135" i="1"/>
  <c r="F134" i="1"/>
  <c r="G134" i="1" s="1"/>
  <c r="F134" i="2"/>
  <c r="G134" i="2" s="1"/>
  <c r="E135" i="2"/>
  <c r="E136" i="3"/>
  <c r="F135" i="3"/>
  <c r="G135" i="3" s="1"/>
  <c r="F135" i="4" l="1"/>
  <c r="G135" i="4" s="1"/>
  <c r="E136" i="4"/>
  <c r="E136" i="1"/>
  <c r="F135" i="1"/>
  <c r="G135" i="1" s="1"/>
  <c r="F135" i="2"/>
  <c r="G135" i="2" s="1"/>
  <c r="E136" i="2"/>
  <c r="F136" i="3"/>
  <c r="G136" i="3" s="1"/>
  <c r="E137" i="3"/>
  <c r="E137" i="4" l="1"/>
  <c r="F136" i="4"/>
  <c r="G136" i="4" s="1"/>
  <c r="E137" i="1"/>
  <c r="F136" i="1"/>
  <c r="G136" i="1" s="1"/>
  <c r="E137" i="2"/>
  <c r="F136" i="2"/>
  <c r="G136" i="2" s="1"/>
  <c r="F137" i="3"/>
  <c r="G137" i="3" s="1"/>
  <c r="E138" i="3"/>
  <c r="E138" i="4" l="1"/>
  <c r="F137" i="4"/>
  <c r="G137" i="4" s="1"/>
  <c r="E138" i="1"/>
  <c r="F137" i="1"/>
  <c r="G137" i="1" s="1"/>
  <c r="F137" i="2"/>
  <c r="G137" i="2" s="1"/>
  <c r="E138" i="2"/>
  <c r="F138" i="3"/>
  <c r="G138" i="3" s="1"/>
  <c r="E139" i="3"/>
  <c r="F138" i="4" l="1"/>
  <c r="G138" i="4" s="1"/>
  <c r="E139" i="4"/>
  <c r="E139" i="1"/>
  <c r="F138" i="1"/>
  <c r="G138" i="1" s="1"/>
  <c r="F138" i="2"/>
  <c r="G138" i="2" s="1"/>
  <c r="E139" i="2"/>
  <c r="F139" i="3"/>
  <c r="G139" i="3" s="1"/>
  <c r="E140" i="3"/>
  <c r="F139" i="4" l="1"/>
  <c r="G139" i="4" s="1"/>
  <c r="E140" i="4"/>
  <c r="E140" i="1"/>
  <c r="F139" i="1"/>
  <c r="G139" i="1" s="1"/>
  <c r="F139" i="2"/>
  <c r="G139" i="2" s="1"/>
  <c r="E140" i="2"/>
  <c r="F140" i="3"/>
  <c r="G140" i="3" s="1"/>
  <c r="E141" i="3"/>
  <c r="E141" i="4" l="1"/>
  <c r="F140" i="4"/>
  <c r="G140" i="4" s="1"/>
  <c r="F140" i="1"/>
  <c r="G140" i="1" s="1"/>
  <c r="E141" i="1"/>
  <c r="F140" i="2"/>
  <c r="G140" i="2" s="1"/>
  <c r="E141" i="2"/>
  <c r="F141" i="3"/>
  <c r="G141" i="3" s="1"/>
  <c r="E142" i="3"/>
  <c r="E142" i="4" l="1"/>
  <c r="F141" i="4"/>
  <c r="G141" i="4" s="1"/>
  <c r="E142" i="1"/>
  <c r="F141" i="1"/>
  <c r="G141" i="1" s="1"/>
  <c r="F141" i="2"/>
  <c r="G141" i="2" s="1"/>
  <c r="E142" i="2"/>
  <c r="F142" i="3"/>
  <c r="G142" i="3" s="1"/>
  <c r="E143" i="3"/>
  <c r="E143" i="4" l="1"/>
  <c r="F142" i="4"/>
  <c r="G142" i="4" s="1"/>
  <c r="E143" i="1"/>
  <c r="F142" i="1"/>
  <c r="G142" i="1" s="1"/>
  <c r="F142" i="2"/>
  <c r="G142" i="2" s="1"/>
  <c r="E143" i="2"/>
  <c r="E144" i="3"/>
  <c r="F143" i="3"/>
  <c r="G143" i="3" s="1"/>
  <c r="E144" i="4" l="1"/>
  <c r="F143" i="4"/>
  <c r="G143" i="4" s="1"/>
  <c r="E144" i="1"/>
  <c r="F143" i="1"/>
  <c r="G143" i="1" s="1"/>
  <c r="F143" i="2"/>
  <c r="G143" i="2" s="1"/>
  <c r="E144" i="2"/>
  <c r="F144" i="3"/>
  <c r="G144" i="3" s="1"/>
  <c r="E145" i="3"/>
  <c r="F144" i="4" l="1"/>
  <c r="G144" i="4" s="1"/>
  <c r="E145" i="4"/>
  <c r="E145" i="1"/>
  <c r="F144" i="1"/>
  <c r="G144" i="1" s="1"/>
  <c r="F144" i="2"/>
  <c r="G144" i="2" s="1"/>
  <c r="E145" i="2"/>
  <c r="E146" i="3"/>
  <c r="F145" i="3"/>
  <c r="G145" i="3" s="1"/>
  <c r="E146" i="4" l="1"/>
  <c r="F145" i="4"/>
  <c r="G145" i="4" s="1"/>
  <c r="E146" i="1"/>
  <c r="F145" i="1"/>
  <c r="G145" i="1" s="1"/>
  <c r="E146" i="2"/>
  <c r="F145" i="2"/>
  <c r="G145" i="2" s="1"/>
  <c r="F146" i="3"/>
  <c r="G146" i="3" s="1"/>
  <c r="E147" i="3"/>
  <c r="E147" i="4" l="1"/>
  <c r="F146" i="4"/>
  <c r="G146" i="4" s="1"/>
  <c r="E147" i="1"/>
  <c r="F146" i="1"/>
  <c r="G146" i="1" s="1"/>
  <c r="F146" i="2"/>
  <c r="G146" i="2" s="1"/>
  <c r="E147" i="2"/>
  <c r="F147" i="3"/>
  <c r="G147" i="3" s="1"/>
  <c r="E148" i="3"/>
  <c r="F147" i="4" l="1"/>
  <c r="G147" i="4" s="1"/>
  <c r="E148" i="4"/>
  <c r="E148" i="1"/>
  <c r="F147" i="1"/>
  <c r="G147" i="1" s="1"/>
  <c r="F147" i="2"/>
  <c r="G147" i="2" s="1"/>
  <c r="E148" i="2"/>
  <c r="F148" i="3"/>
  <c r="G148" i="3" s="1"/>
  <c r="E149" i="3"/>
  <c r="E149" i="4" l="1"/>
  <c r="F148" i="4"/>
  <c r="G148" i="4" s="1"/>
  <c r="E149" i="1"/>
  <c r="F148" i="1"/>
  <c r="G148" i="1" s="1"/>
  <c r="F148" i="2"/>
  <c r="G148" i="2" s="1"/>
  <c r="E149" i="2"/>
  <c r="E150" i="3"/>
  <c r="F149" i="3"/>
  <c r="G149" i="3" s="1"/>
  <c r="F149" i="4" l="1"/>
  <c r="G149" i="4" s="1"/>
  <c r="E150" i="4"/>
  <c r="F149" i="1"/>
  <c r="G149" i="1" s="1"/>
  <c r="E150" i="1"/>
  <c r="F149" i="2"/>
  <c r="G149" i="2" s="1"/>
  <c r="E150" i="2"/>
  <c r="F150" i="3"/>
  <c r="G150" i="3" s="1"/>
  <c r="E151" i="3"/>
  <c r="E151" i="4" l="1"/>
  <c r="F150" i="4"/>
  <c r="G150" i="4" s="1"/>
  <c r="E151" i="1"/>
  <c r="F150" i="1"/>
  <c r="G150" i="1" s="1"/>
  <c r="F150" i="2"/>
  <c r="G150" i="2" s="1"/>
  <c r="E151" i="2"/>
  <c r="E152" i="3"/>
  <c r="F151" i="3"/>
  <c r="G151" i="3" s="1"/>
  <c r="E152" i="4" l="1"/>
  <c r="F151" i="4"/>
  <c r="G151" i="4" s="1"/>
  <c r="E152" i="1"/>
  <c r="F151" i="1"/>
  <c r="G151" i="1" s="1"/>
  <c r="F151" i="2"/>
  <c r="G151" i="2" s="1"/>
  <c r="E152" i="2"/>
  <c r="F152" i="3"/>
  <c r="G152" i="3" s="1"/>
  <c r="E153" i="3"/>
  <c r="F152" i="4" l="1"/>
  <c r="G152" i="4" s="1"/>
  <c r="E153" i="4"/>
  <c r="E153" i="1"/>
  <c r="F152" i="1"/>
  <c r="G152" i="1" s="1"/>
  <c r="F152" i="2"/>
  <c r="G152" i="2" s="1"/>
  <c r="E153" i="2"/>
  <c r="F153" i="3"/>
  <c r="G153" i="3" s="1"/>
  <c r="E154" i="3"/>
  <c r="E154" i="4" l="1"/>
  <c r="F153" i="4"/>
  <c r="G153" i="4" s="1"/>
  <c r="E154" i="1"/>
  <c r="F153" i="1"/>
  <c r="G153" i="1" s="1"/>
  <c r="F153" i="2"/>
  <c r="G153" i="2" s="1"/>
  <c r="E154" i="2"/>
  <c r="F154" i="3"/>
  <c r="G154" i="3" s="1"/>
  <c r="E155" i="3"/>
  <c r="E155" i="4" l="1"/>
  <c r="F154" i="4"/>
  <c r="G154" i="4" s="1"/>
  <c r="E155" i="1"/>
  <c r="F154" i="1"/>
  <c r="G154" i="1" s="1"/>
  <c r="F154" i="2"/>
  <c r="G154" i="2" s="1"/>
  <c r="E155" i="2"/>
  <c r="E156" i="3"/>
  <c r="F155" i="3"/>
  <c r="G155" i="3" s="1"/>
  <c r="E156" i="4" l="1"/>
  <c r="F155" i="4"/>
  <c r="G155" i="4" s="1"/>
  <c r="E156" i="1"/>
  <c r="F155" i="1"/>
  <c r="G155" i="1" s="1"/>
  <c r="F155" i="2"/>
  <c r="G155" i="2" s="1"/>
  <c r="E156" i="2"/>
  <c r="E157" i="3"/>
  <c r="F156" i="3"/>
  <c r="G156" i="3" s="1"/>
  <c r="E157" i="4" l="1"/>
  <c r="F156" i="4"/>
  <c r="G156" i="4" s="1"/>
  <c r="E157" i="1"/>
  <c r="F156" i="1"/>
  <c r="G156" i="1" s="1"/>
  <c r="F156" i="2"/>
  <c r="G156" i="2" s="1"/>
  <c r="E157" i="2"/>
  <c r="F157" i="3"/>
  <c r="G157" i="3" s="1"/>
  <c r="E158" i="3"/>
  <c r="F157" i="4" l="1"/>
  <c r="G157" i="4" s="1"/>
  <c r="E158" i="4"/>
  <c r="E158" i="1"/>
  <c r="F157" i="1"/>
  <c r="G157" i="1" s="1"/>
  <c r="F157" i="2"/>
  <c r="G157" i="2" s="1"/>
  <c r="E158" i="2"/>
  <c r="F158" i="3"/>
  <c r="G158" i="3" s="1"/>
  <c r="E159" i="3"/>
  <c r="F158" i="4" l="1"/>
  <c r="G158" i="4" s="1"/>
  <c r="E159" i="4"/>
  <c r="E159" i="1"/>
  <c r="F158" i="1"/>
  <c r="G158" i="1" s="1"/>
  <c r="F158" i="2"/>
  <c r="G158" i="2" s="1"/>
  <c r="E159" i="2"/>
  <c r="F159" i="3"/>
  <c r="G159" i="3" s="1"/>
  <c r="E160" i="3"/>
  <c r="F159" i="4" l="1"/>
  <c r="G159" i="4" s="1"/>
  <c r="E160" i="4"/>
  <c r="F159" i="1"/>
  <c r="G159" i="1" s="1"/>
  <c r="E160" i="1"/>
  <c r="F159" i="2"/>
  <c r="G159" i="2" s="1"/>
  <c r="E160" i="2"/>
  <c r="F160" i="3"/>
  <c r="G160" i="3" s="1"/>
  <c r="E161" i="3"/>
  <c r="E161" i="4" l="1"/>
  <c r="F160" i="4"/>
  <c r="G160" i="4" s="1"/>
  <c r="E161" i="1"/>
  <c r="F160" i="1"/>
  <c r="G160" i="1" s="1"/>
  <c r="F160" i="2"/>
  <c r="G160" i="2" s="1"/>
  <c r="E161" i="2"/>
  <c r="F161" i="3"/>
  <c r="G161" i="3" s="1"/>
  <c r="E162" i="3"/>
  <c r="F161" i="4" l="1"/>
  <c r="G161" i="4" s="1"/>
  <c r="E162" i="4"/>
  <c r="E162" i="1"/>
  <c r="F161" i="1"/>
  <c r="G161" i="1" s="1"/>
  <c r="F161" i="2"/>
  <c r="G161" i="2" s="1"/>
  <c r="E162" i="2"/>
  <c r="F162" i="3"/>
  <c r="G162" i="3" s="1"/>
  <c r="E163" i="3"/>
  <c r="E163" i="4" l="1"/>
  <c r="F162" i="4"/>
  <c r="G162" i="4" s="1"/>
  <c r="E163" i="1"/>
  <c r="F162" i="1"/>
  <c r="G162" i="1" s="1"/>
  <c r="E163" i="2"/>
  <c r="F162" i="2"/>
  <c r="G162" i="2" s="1"/>
  <c r="F163" i="3"/>
  <c r="G163" i="3" s="1"/>
  <c r="E164" i="3"/>
  <c r="F163" i="4" l="1"/>
  <c r="G163" i="4" s="1"/>
  <c r="E164" i="4"/>
  <c r="E164" i="1"/>
  <c r="F163" i="1"/>
  <c r="G163" i="1" s="1"/>
  <c r="F163" i="2"/>
  <c r="G163" i="2" s="1"/>
  <c r="E164" i="2"/>
  <c r="F164" i="3"/>
  <c r="G164" i="3" s="1"/>
  <c r="E165" i="3"/>
  <c r="F164" i="4" l="1"/>
  <c r="G164" i="4" s="1"/>
  <c r="E165" i="4"/>
  <c r="E165" i="1"/>
  <c r="F164" i="1"/>
  <c r="G164" i="1" s="1"/>
  <c r="F164" i="2"/>
  <c r="G164" i="2" s="1"/>
  <c r="E165" i="2"/>
  <c r="F165" i="3"/>
  <c r="G165" i="3" s="1"/>
  <c r="E166" i="3"/>
  <c r="E166" i="4" l="1"/>
  <c r="F165" i="4"/>
  <c r="G165" i="4" s="1"/>
  <c r="E166" i="1"/>
  <c r="F165" i="1"/>
  <c r="G165" i="1" s="1"/>
  <c r="F165" i="2"/>
  <c r="G165" i="2" s="1"/>
  <c r="E166" i="2"/>
  <c r="F166" i="3"/>
  <c r="G166" i="3" s="1"/>
  <c r="E167" i="3"/>
  <c r="F166" i="4" l="1"/>
  <c r="G166" i="4" s="1"/>
  <c r="E167" i="4"/>
  <c r="F166" i="1"/>
  <c r="G166" i="1" s="1"/>
  <c r="E167" i="1"/>
  <c r="F166" i="2"/>
  <c r="G166" i="2" s="1"/>
  <c r="E167" i="2"/>
  <c r="F167" i="3"/>
  <c r="G167" i="3" s="1"/>
  <c r="E168" i="3"/>
  <c r="F167" i="4" l="1"/>
  <c r="G167" i="4" s="1"/>
  <c r="E168" i="4"/>
  <c r="E168" i="1"/>
  <c r="F167" i="1"/>
  <c r="G167" i="1" s="1"/>
  <c r="F167" i="2"/>
  <c r="G167" i="2" s="1"/>
  <c r="E168" i="2"/>
  <c r="E169" i="3"/>
  <c r="F168" i="3"/>
  <c r="G168" i="3" s="1"/>
  <c r="E169" i="4" l="1"/>
  <c r="F168" i="4"/>
  <c r="G168" i="4" s="1"/>
  <c r="F168" i="1"/>
  <c r="G168" i="1" s="1"/>
  <c r="E169" i="1"/>
  <c r="F168" i="2"/>
  <c r="G168" i="2" s="1"/>
  <c r="E169" i="2"/>
  <c r="F169" i="3"/>
  <c r="G169" i="3" s="1"/>
  <c r="E170" i="3"/>
  <c r="F169" i="4" l="1"/>
  <c r="G169" i="4" s="1"/>
  <c r="E170" i="4"/>
  <c r="E170" i="1"/>
  <c r="F169" i="1"/>
  <c r="G169" i="1" s="1"/>
  <c r="F169" i="2"/>
  <c r="G169" i="2" s="1"/>
  <c r="E170" i="2"/>
  <c r="F170" i="3"/>
  <c r="G170" i="3" s="1"/>
  <c r="E171" i="3"/>
  <c r="E171" i="4" l="1"/>
  <c r="F170" i="4"/>
  <c r="G170" i="4" s="1"/>
  <c r="F170" i="1"/>
  <c r="G170" i="1" s="1"/>
  <c r="E171" i="1"/>
  <c r="F170" i="2"/>
  <c r="G170" i="2" s="1"/>
  <c r="E171" i="2"/>
  <c r="F171" i="3"/>
  <c r="G171" i="3" s="1"/>
  <c r="E172" i="3"/>
  <c r="E172" i="4" l="1"/>
  <c r="F171" i="4"/>
  <c r="G171" i="4" s="1"/>
  <c r="E172" i="1"/>
  <c r="F171" i="1"/>
  <c r="G171" i="1" s="1"/>
  <c r="E172" i="2"/>
  <c r="F171" i="2"/>
  <c r="G171" i="2" s="1"/>
  <c r="E173" i="3"/>
  <c r="F172" i="3"/>
  <c r="G172" i="3" s="1"/>
  <c r="E173" i="4" l="1"/>
  <c r="F172" i="4"/>
  <c r="G172" i="4" s="1"/>
  <c r="E173" i="1"/>
  <c r="F172" i="1"/>
  <c r="G172" i="1" s="1"/>
  <c r="F172" i="2"/>
  <c r="G172" i="2" s="1"/>
  <c r="E173" i="2"/>
  <c r="F173" i="3"/>
  <c r="G173" i="3" s="1"/>
  <c r="E174" i="3"/>
  <c r="E174" i="4" l="1"/>
  <c r="F173" i="4"/>
  <c r="G173" i="4" s="1"/>
  <c r="E174" i="1"/>
  <c r="F173" i="1"/>
  <c r="G173" i="1" s="1"/>
  <c r="F173" i="2"/>
  <c r="G173" i="2" s="1"/>
  <c r="E174" i="2"/>
  <c r="E175" i="3"/>
  <c r="F174" i="3"/>
  <c r="G174" i="3" s="1"/>
  <c r="F174" i="4" l="1"/>
  <c r="G174" i="4" s="1"/>
  <c r="E175" i="4"/>
  <c r="F174" i="1"/>
  <c r="G174" i="1" s="1"/>
  <c r="E175" i="1"/>
  <c r="F174" i="2"/>
  <c r="G174" i="2" s="1"/>
  <c r="E175" i="2"/>
  <c r="F175" i="3"/>
  <c r="G175" i="3" s="1"/>
  <c r="E176" i="3"/>
  <c r="F175" i="4" l="1"/>
  <c r="G175" i="4" s="1"/>
  <c r="E176" i="4"/>
  <c r="E176" i="1"/>
  <c r="F175" i="1"/>
  <c r="G175" i="1" s="1"/>
  <c r="F175" i="2"/>
  <c r="G175" i="2" s="1"/>
  <c r="E176" i="2"/>
  <c r="E177" i="3"/>
  <c r="F176" i="3"/>
  <c r="G176" i="3" s="1"/>
  <c r="F176" i="4" l="1"/>
  <c r="G176" i="4" s="1"/>
  <c r="E177" i="4"/>
  <c r="E177" i="1"/>
  <c r="F176" i="1"/>
  <c r="G176" i="1" s="1"/>
  <c r="F176" i="2"/>
  <c r="G176" i="2" s="1"/>
  <c r="E177" i="2"/>
  <c r="F177" i="3"/>
  <c r="G177" i="3" s="1"/>
  <c r="E178" i="3"/>
  <c r="E178" i="4" l="1"/>
  <c r="F177" i="4"/>
  <c r="G177" i="4" s="1"/>
  <c r="E178" i="1"/>
  <c r="F177" i="1"/>
  <c r="G177" i="1" s="1"/>
  <c r="E178" i="2"/>
  <c r="F177" i="2"/>
  <c r="G177" i="2" s="1"/>
  <c r="F178" i="3"/>
  <c r="G178" i="3" s="1"/>
  <c r="E179" i="3"/>
  <c r="E179" i="4" l="1"/>
  <c r="F178" i="4"/>
  <c r="G178" i="4" s="1"/>
  <c r="E179" i="1"/>
  <c r="F178" i="1"/>
  <c r="G178" i="1" s="1"/>
  <c r="F178" i="2"/>
  <c r="G178" i="2" s="1"/>
  <c r="E179" i="2"/>
  <c r="F179" i="3"/>
  <c r="G179" i="3" s="1"/>
  <c r="E180" i="3"/>
  <c r="F179" i="4" l="1"/>
  <c r="G179" i="4" s="1"/>
  <c r="E180" i="4"/>
  <c r="E180" i="1"/>
  <c r="F179" i="1"/>
  <c r="G179" i="1" s="1"/>
  <c r="E180" i="2"/>
  <c r="F179" i="2"/>
  <c r="G179" i="2" s="1"/>
  <c r="F180" i="3"/>
  <c r="G180" i="3" s="1"/>
  <c r="E181" i="3"/>
  <c r="F180" i="4" l="1"/>
  <c r="G180" i="4" s="1"/>
  <c r="E181" i="4"/>
  <c r="F180" i="1"/>
  <c r="G180" i="1" s="1"/>
  <c r="E181" i="1"/>
  <c r="F180" i="2"/>
  <c r="G180" i="2" s="1"/>
  <c r="E181" i="2"/>
  <c r="F181" i="3"/>
  <c r="G181" i="3" s="1"/>
  <c r="E182" i="3"/>
  <c r="E182" i="4" l="1"/>
  <c r="F181" i="4"/>
  <c r="G181" i="4" s="1"/>
  <c r="E182" i="1"/>
  <c r="F181" i="1"/>
  <c r="G181" i="1" s="1"/>
  <c r="F181" i="2"/>
  <c r="G181" i="2" s="1"/>
  <c r="E182" i="2"/>
  <c r="E183" i="3"/>
  <c r="F182" i="3"/>
  <c r="G182" i="3" s="1"/>
  <c r="F182" i="4" l="1"/>
  <c r="G182" i="4" s="1"/>
  <c r="E183" i="4"/>
  <c r="E183" i="1"/>
  <c r="F182" i="1"/>
  <c r="G182" i="1" s="1"/>
  <c r="F182" i="2"/>
  <c r="G182" i="2" s="1"/>
  <c r="E183" i="2"/>
  <c r="F183" i="3"/>
  <c r="G183" i="3" s="1"/>
  <c r="E184" i="3"/>
  <c r="F183" i="4" l="1"/>
  <c r="G183" i="4" s="1"/>
  <c r="E184" i="4"/>
  <c r="E184" i="1"/>
  <c r="F183" i="1"/>
  <c r="G183" i="1" s="1"/>
  <c r="F183" i="2"/>
  <c r="G183" i="2" s="1"/>
  <c r="E184" i="2"/>
  <c r="E185" i="3"/>
  <c r="F184" i="3"/>
  <c r="G184" i="3" s="1"/>
  <c r="F184" i="4" l="1"/>
  <c r="G184" i="4" s="1"/>
  <c r="E185" i="4"/>
  <c r="E185" i="1"/>
  <c r="F184" i="1"/>
  <c r="G184" i="1" s="1"/>
  <c r="F184" i="2"/>
  <c r="G184" i="2" s="1"/>
  <c r="E185" i="2"/>
  <c r="F185" i="3"/>
  <c r="G185" i="3" s="1"/>
  <c r="E186" i="3"/>
  <c r="E186" i="4" l="1"/>
  <c r="F185" i="4"/>
  <c r="G185" i="4" s="1"/>
  <c r="E186" i="1"/>
  <c r="F185" i="1"/>
  <c r="G185" i="1" s="1"/>
  <c r="E186" i="2"/>
  <c r="F185" i="2"/>
  <c r="G185" i="2" s="1"/>
  <c r="E187" i="3"/>
  <c r="F186" i="3"/>
  <c r="G186" i="3" s="1"/>
  <c r="E187" i="4" l="1"/>
  <c r="F186" i="4"/>
  <c r="G186" i="4" s="1"/>
  <c r="F186" i="1"/>
  <c r="G186" i="1" s="1"/>
  <c r="E187" i="1"/>
  <c r="F186" i="2"/>
  <c r="G186" i="2" s="1"/>
  <c r="E187" i="2"/>
  <c r="F187" i="3"/>
  <c r="G187" i="3" s="1"/>
  <c r="E188" i="3"/>
  <c r="F187" i="4" l="1"/>
  <c r="G187" i="4" s="1"/>
  <c r="E188" i="4"/>
  <c r="E188" i="1"/>
  <c r="F187" i="1"/>
  <c r="G187" i="1" s="1"/>
  <c r="F187" i="2"/>
  <c r="G187" i="2" s="1"/>
  <c r="E188" i="2"/>
  <c r="F188" i="3"/>
  <c r="G188" i="3" s="1"/>
  <c r="E189" i="3"/>
  <c r="E189" i="4" l="1"/>
  <c r="F188" i="4"/>
  <c r="G188" i="4" s="1"/>
  <c r="E189" i="1"/>
  <c r="F188" i="1"/>
  <c r="G188" i="1" s="1"/>
  <c r="F188" i="2"/>
  <c r="G188" i="2" s="1"/>
  <c r="E189" i="2"/>
  <c r="F189" i="3"/>
  <c r="G189" i="3" s="1"/>
  <c r="E190" i="3"/>
  <c r="F189" i="4" l="1"/>
  <c r="G189" i="4" s="1"/>
  <c r="E190" i="4"/>
  <c r="E190" i="1"/>
  <c r="F189" i="1"/>
  <c r="G189" i="1" s="1"/>
  <c r="F189" i="2"/>
  <c r="G189" i="2" s="1"/>
  <c r="E190" i="2"/>
  <c r="F190" i="3"/>
  <c r="G190" i="3" s="1"/>
  <c r="E191" i="3"/>
  <c r="E191" i="4" l="1"/>
  <c r="F190" i="4"/>
  <c r="G190" i="4" s="1"/>
  <c r="E191" i="1"/>
  <c r="F190" i="1"/>
  <c r="G190" i="1" s="1"/>
  <c r="F190" i="2"/>
  <c r="G190" i="2" s="1"/>
  <c r="E191" i="2"/>
  <c r="F191" i="3"/>
  <c r="G191" i="3" s="1"/>
  <c r="E192" i="3"/>
  <c r="E192" i="4" l="1"/>
  <c r="F191" i="4"/>
  <c r="G191" i="4" s="1"/>
  <c r="E192" i="1"/>
  <c r="F191" i="1"/>
  <c r="G191" i="1" s="1"/>
  <c r="E192" i="2"/>
  <c r="F191" i="2"/>
  <c r="G191" i="2" s="1"/>
  <c r="F192" i="3"/>
  <c r="G192" i="3" s="1"/>
  <c r="E193" i="3"/>
  <c r="E193" i="4" l="1"/>
  <c r="F192" i="4"/>
  <c r="G192" i="4" s="1"/>
  <c r="E193" i="1"/>
  <c r="F192" i="1"/>
  <c r="G192" i="1" s="1"/>
  <c r="F192" i="2"/>
  <c r="G192" i="2" s="1"/>
  <c r="E193" i="2"/>
  <c r="F193" i="3"/>
  <c r="G193" i="3" s="1"/>
  <c r="E194" i="3"/>
  <c r="F193" i="4" l="1"/>
  <c r="G193" i="4" s="1"/>
  <c r="E194" i="4"/>
  <c r="E194" i="1"/>
  <c r="F193" i="1"/>
  <c r="G193" i="1" s="1"/>
  <c r="F193" i="2"/>
  <c r="G193" i="2" s="1"/>
  <c r="E194" i="2"/>
  <c r="F194" i="3"/>
  <c r="G194" i="3" s="1"/>
  <c r="E195" i="3"/>
  <c r="F194" i="4" l="1"/>
  <c r="G194" i="4" s="1"/>
  <c r="E195" i="4"/>
  <c r="F194" i="1"/>
  <c r="G194" i="1" s="1"/>
  <c r="E195" i="1"/>
  <c r="F194" i="2"/>
  <c r="G194" i="2" s="1"/>
  <c r="E195" i="2"/>
  <c r="F195" i="3"/>
  <c r="G195" i="3" s="1"/>
  <c r="E196" i="3"/>
  <c r="F195" i="4" l="1"/>
  <c r="G195" i="4" s="1"/>
  <c r="E196" i="4"/>
  <c r="F195" i="1"/>
  <c r="G195" i="1" s="1"/>
  <c r="E196" i="1"/>
  <c r="F195" i="2"/>
  <c r="G195" i="2" s="1"/>
  <c r="E196" i="2"/>
  <c r="F196" i="3"/>
  <c r="G196" i="3" s="1"/>
  <c r="E197" i="3"/>
  <c r="F196" i="4" l="1"/>
  <c r="G196" i="4" s="1"/>
  <c r="E197" i="4"/>
  <c r="F196" i="1"/>
  <c r="G196" i="1" s="1"/>
  <c r="E197" i="1"/>
  <c r="F196" i="2"/>
  <c r="G196" i="2" s="1"/>
  <c r="E197" i="2"/>
  <c r="F197" i="3"/>
  <c r="G197" i="3" s="1"/>
  <c r="E198" i="3"/>
  <c r="E198" i="4" l="1"/>
  <c r="F197" i="4"/>
  <c r="G197" i="4" s="1"/>
  <c r="E198" i="1"/>
  <c r="F197" i="1"/>
  <c r="G197" i="1" s="1"/>
  <c r="E198" i="2"/>
  <c r="F197" i="2"/>
  <c r="G197" i="2" s="1"/>
  <c r="E199" i="3"/>
  <c r="F198" i="3"/>
  <c r="G198" i="3" s="1"/>
  <c r="F198" i="4" l="1"/>
  <c r="G198" i="4" s="1"/>
  <c r="E199" i="4"/>
  <c r="E199" i="1"/>
  <c r="F198" i="1"/>
  <c r="G198" i="1" s="1"/>
  <c r="F198" i="2"/>
  <c r="G198" i="2" s="1"/>
  <c r="E199" i="2"/>
  <c r="F199" i="3"/>
  <c r="G199" i="3" s="1"/>
  <c r="E200" i="3"/>
  <c r="F199" i="4" l="1"/>
  <c r="G199" i="4" s="1"/>
  <c r="E200" i="4"/>
  <c r="E200" i="1"/>
  <c r="F199" i="1"/>
  <c r="G199" i="1" s="1"/>
  <c r="E200" i="2"/>
  <c r="F199" i="2"/>
  <c r="G199" i="2" s="1"/>
  <c r="F200" i="3"/>
  <c r="G200" i="3" s="1"/>
  <c r="E201" i="3"/>
  <c r="F200" i="4" l="1"/>
  <c r="G200" i="4" s="1"/>
  <c r="E201" i="4"/>
  <c r="E201" i="1"/>
  <c r="F200" i="1"/>
  <c r="G200" i="1" s="1"/>
  <c r="F200" i="2"/>
  <c r="G200" i="2" s="1"/>
  <c r="E201" i="2"/>
  <c r="F201" i="3"/>
  <c r="G201" i="3" s="1"/>
  <c r="E202" i="3"/>
  <c r="F201" i="4" l="1"/>
  <c r="G201" i="4" s="1"/>
  <c r="E202" i="4"/>
  <c r="E202" i="1"/>
  <c r="F201" i="1"/>
  <c r="G201" i="1" s="1"/>
  <c r="F201" i="2"/>
  <c r="G201" i="2" s="1"/>
  <c r="E202" i="2"/>
  <c r="F202" i="3"/>
  <c r="G202" i="3" s="1"/>
  <c r="E203" i="3"/>
  <c r="E203" i="4" l="1"/>
  <c r="F202" i="4"/>
  <c r="G202" i="4" s="1"/>
  <c r="F202" i="1"/>
  <c r="G202" i="1" s="1"/>
  <c r="E203" i="1"/>
  <c r="F202" i="2"/>
  <c r="G202" i="2" s="1"/>
  <c r="E203" i="2"/>
  <c r="F203" i="3"/>
  <c r="G203" i="3" s="1"/>
  <c r="E204" i="3"/>
  <c r="E204" i="4" l="1"/>
  <c r="F203" i="4"/>
  <c r="G203" i="4" s="1"/>
  <c r="E204" i="1"/>
  <c r="F203" i="1"/>
  <c r="G203" i="1" s="1"/>
  <c r="E204" i="2"/>
  <c r="F203" i="2"/>
  <c r="G203" i="2" s="1"/>
  <c r="E205" i="3"/>
  <c r="F204" i="3"/>
  <c r="G204" i="3" s="1"/>
  <c r="E205" i="4" l="1"/>
  <c r="F204" i="4"/>
  <c r="G204" i="4" s="1"/>
  <c r="E205" i="1"/>
  <c r="F204" i="1"/>
  <c r="G204" i="1" s="1"/>
  <c r="F204" i="2"/>
  <c r="G204" i="2" s="1"/>
  <c r="E205" i="2"/>
  <c r="F205" i="3"/>
  <c r="G205" i="3" s="1"/>
  <c r="E206" i="3"/>
  <c r="F205" i="4" l="1"/>
  <c r="G205" i="4" s="1"/>
  <c r="E206" i="4"/>
  <c r="E206" i="1"/>
  <c r="F205" i="1"/>
  <c r="G205" i="1" s="1"/>
  <c r="F205" i="2"/>
  <c r="G205" i="2" s="1"/>
  <c r="E206" i="2"/>
  <c r="F206" i="3"/>
  <c r="G206" i="3" s="1"/>
  <c r="E207" i="3"/>
  <c r="F206" i="4" l="1"/>
  <c r="G206" i="4" s="1"/>
  <c r="E207" i="4"/>
  <c r="F206" i="1"/>
  <c r="G206" i="1" s="1"/>
  <c r="E207" i="1"/>
  <c r="F206" i="2"/>
  <c r="G206" i="2" s="1"/>
  <c r="E207" i="2"/>
  <c r="F207" i="3"/>
  <c r="G207" i="3" s="1"/>
  <c r="E208" i="3"/>
  <c r="F207" i="4" l="1"/>
  <c r="G207" i="4" s="1"/>
  <c r="E208" i="4"/>
  <c r="E208" i="1"/>
  <c r="F207" i="1"/>
  <c r="G207" i="1" s="1"/>
  <c r="E208" i="2"/>
  <c r="F207" i="2"/>
  <c r="G207" i="2" s="1"/>
  <c r="E209" i="3"/>
  <c r="F208" i="3"/>
  <c r="G208" i="3" s="1"/>
  <c r="F208" i="4" l="1"/>
  <c r="G208" i="4" s="1"/>
  <c r="E209" i="4"/>
  <c r="E209" i="1"/>
  <c r="F208" i="1"/>
  <c r="G208" i="1" s="1"/>
  <c r="F208" i="2"/>
  <c r="G208" i="2" s="1"/>
  <c r="E209" i="2"/>
  <c r="F209" i="3"/>
  <c r="G209" i="3" s="1"/>
  <c r="E210" i="3"/>
  <c r="E210" i="4" l="1"/>
  <c r="F209" i="4"/>
  <c r="G209" i="4" s="1"/>
  <c r="E210" i="1"/>
  <c r="F209" i="1"/>
  <c r="G209" i="1" s="1"/>
  <c r="F209" i="2"/>
  <c r="G209" i="2" s="1"/>
  <c r="E210" i="2"/>
  <c r="F210" i="3"/>
  <c r="G210" i="3" s="1"/>
  <c r="E211" i="3"/>
  <c r="F210" i="4" l="1"/>
  <c r="G210" i="4" s="1"/>
  <c r="E211" i="4"/>
  <c r="F210" i="1"/>
  <c r="G210" i="1" s="1"/>
  <c r="E211" i="1"/>
  <c r="F210" i="2"/>
  <c r="G210" i="2" s="1"/>
  <c r="E211" i="2"/>
  <c r="F211" i="3"/>
  <c r="G211" i="3" s="1"/>
  <c r="E212" i="3"/>
  <c r="E212" i="4" l="1"/>
  <c r="F211" i="4"/>
  <c r="G211" i="4" s="1"/>
  <c r="E212" i="1"/>
  <c r="F211" i="1"/>
  <c r="G211" i="1" s="1"/>
  <c r="E212" i="2"/>
  <c r="F211" i="2"/>
  <c r="G211" i="2" s="1"/>
  <c r="F212" i="3"/>
  <c r="G212" i="3" s="1"/>
  <c r="E213" i="3"/>
  <c r="F212" i="4" l="1"/>
  <c r="G212" i="4" s="1"/>
  <c r="E213" i="4"/>
  <c r="F212" i="1"/>
  <c r="G212" i="1" s="1"/>
  <c r="E213" i="1"/>
  <c r="F212" i="2"/>
  <c r="G212" i="2" s="1"/>
  <c r="E213" i="2"/>
  <c r="F213" i="3"/>
  <c r="G213" i="3" s="1"/>
  <c r="E214" i="3"/>
  <c r="F213" i="4" l="1"/>
  <c r="G213" i="4" s="1"/>
  <c r="E214" i="4"/>
  <c r="E214" i="1"/>
  <c r="F213" i="1"/>
  <c r="G213" i="1" s="1"/>
  <c r="E214" i="2"/>
  <c r="F213" i="2"/>
  <c r="G213" i="2" s="1"/>
  <c r="F214" i="3"/>
  <c r="G214" i="3" s="1"/>
  <c r="E215" i="3"/>
  <c r="F214" i="4" l="1"/>
  <c r="G214" i="4" s="1"/>
  <c r="E215" i="4"/>
  <c r="F214" i="1"/>
  <c r="G214" i="1" s="1"/>
  <c r="E215" i="1"/>
  <c r="F214" i="2"/>
  <c r="G214" i="2" s="1"/>
  <c r="E215" i="2"/>
  <c r="F215" i="3"/>
  <c r="G215" i="3" s="1"/>
  <c r="E216" i="3"/>
  <c r="E216" i="4" l="1"/>
  <c r="F215" i="4"/>
  <c r="G215" i="4" s="1"/>
  <c r="E216" i="1"/>
  <c r="F215" i="1"/>
  <c r="G215" i="1" s="1"/>
  <c r="F215" i="2"/>
  <c r="G215" i="2" s="1"/>
  <c r="E216" i="2"/>
  <c r="F216" i="3"/>
  <c r="G216" i="3" s="1"/>
  <c r="E217" i="3"/>
  <c r="F216" i="4" l="1"/>
  <c r="G216" i="4" s="1"/>
  <c r="E217" i="4"/>
  <c r="E217" i="1"/>
  <c r="F216" i="1"/>
  <c r="G216" i="1" s="1"/>
  <c r="F216" i="2"/>
  <c r="G216" i="2" s="1"/>
  <c r="E217" i="2"/>
  <c r="E218" i="3"/>
  <c r="F217" i="3"/>
  <c r="G217" i="3" s="1"/>
  <c r="E218" i="4" l="1"/>
  <c r="F217" i="4"/>
  <c r="G217" i="4" s="1"/>
  <c r="E218" i="1"/>
  <c r="F217" i="1"/>
  <c r="G217" i="1" s="1"/>
  <c r="F217" i="2"/>
  <c r="G217" i="2" s="1"/>
  <c r="E218" i="2"/>
  <c r="F218" i="3"/>
  <c r="G218" i="3" s="1"/>
  <c r="E219" i="3"/>
  <c r="E219" i="4" l="1"/>
  <c r="F218" i="4"/>
  <c r="G218" i="4" s="1"/>
  <c r="E219" i="1"/>
  <c r="F218" i="1"/>
  <c r="G218" i="1" s="1"/>
  <c r="F218" i="2"/>
  <c r="G218" i="2" s="1"/>
  <c r="E219" i="2"/>
  <c r="F219" i="3"/>
  <c r="G219" i="3" s="1"/>
  <c r="E220" i="3"/>
  <c r="F219" i="4" l="1"/>
  <c r="G219" i="4" s="1"/>
  <c r="E220" i="4"/>
  <c r="E220" i="1"/>
  <c r="F219" i="1"/>
  <c r="G219" i="1" s="1"/>
  <c r="F219" i="2"/>
  <c r="G219" i="2" s="1"/>
  <c r="E220" i="2"/>
  <c r="F220" i="3"/>
  <c r="G220" i="3" s="1"/>
  <c r="E221" i="3"/>
  <c r="E221" i="4" l="1"/>
  <c r="F220" i="4"/>
  <c r="G220" i="4" s="1"/>
  <c r="E221" i="1"/>
  <c r="F220" i="1"/>
  <c r="G220" i="1" s="1"/>
  <c r="F220" i="2"/>
  <c r="G220" i="2" s="1"/>
  <c r="E221" i="2"/>
  <c r="E222" i="3"/>
  <c r="F221" i="3"/>
  <c r="G221" i="3" s="1"/>
  <c r="F221" i="4" l="1"/>
  <c r="G221" i="4" s="1"/>
  <c r="E222" i="4"/>
  <c r="E222" i="1"/>
  <c r="F221" i="1"/>
  <c r="G221" i="1" s="1"/>
  <c r="F221" i="2"/>
  <c r="G221" i="2" s="1"/>
  <c r="E222" i="2"/>
  <c r="F222" i="3"/>
  <c r="G222" i="3" s="1"/>
  <c r="E223" i="3"/>
  <c r="E223" i="4" l="1"/>
  <c r="F222" i="4"/>
  <c r="G222" i="4" s="1"/>
  <c r="F222" i="1"/>
  <c r="G222" i="1" s="1"/>
  <c r="E223" i="1"/>
  <c r="F222" i="2"/>
  <c r="G222" i="2" s="1"/>
  <c r="E223" i="2"/>
  <c r="F223" i="3"/>
  <c r="G223" i="3" s="1"/>
  <c r="E224" i="3"/>
  <c r="F223" i="4" l="1"/>
  <c r="G223" i="4" s="1"/>
  <c r="E224" i="4"/>
  <c r="E224" i="1"/>
  <c r="F223" i="1"/>
  <c r="G223" i="1" s="1"/>
  <c r="F223" i="2"/>
  <c r="G223" i="2" s="1"/>
  <c r="E224" i="2"/>
  <c r="F224" i="3"/>
  <c r="G224" i="3" s="1"/>
  <c r="E225" i="3"/>
  <c r="F224" i="4" l="1"/>
  <c r="G224" i="4" s="1"/>
  <c r="E225" i="4"/>
  <c r="F224" i="1"/>
  <c r="G224" i="1" s="1"/>
  <c r="E225" i="1"/>
  <c r="F224" i="2"/>
  <c r="G224" i="2" s="1"/>
  <c r="E225" i="2"/>
  <c r="F225" i="3"/>
  <c r="G225" i="3" s="1"/>
  <c r="E226" i="3"/>
  <c r="E226" i="4" l="1"/>
  <c r="F225" i="4"/>
  <c r="G225" i="4" s="1"/>
  <c r="E226" i="1"/>
  <c r="F225" i="1"/>
  <c r="G225" i="1" s="1"/>
  <c r="F225" i="2"/>
  <c r="G225" i="2" s="1"/>
  <c r="E226" i="2"/>
  <c r="F226" i="3"/>
  <c r="G226" i="3" s="1"/>
  <c r="E227" i="3"/>
  <c r="E227" i="4" l="1"/>
  <c r="F226" i="4"/>
  <c r="G226" i="4" s="1"/>
  <c r="F226" i="1"/>
  <c r="G226" i="1" s="1"/>
  <c r="E227" i="1"/>
  <c r="E227" i="2"/>
  <c r="F226" i="2"/>
  <c r="G226" i="2" s="1"/>
  <c r="F227" i="3"/>
  <c r="G227" i="3" s="1"/>
  <c r="E228" i="3"/>
  <c r="F227" i="4" l="1"/>
  <c r="G227" i="4" s="1"/>
  <c r="E228" i="4"/>
  <c r="E228" i="1"/>
  <c r="F227" i="1"/>
  <c r="G227" i="1" s="1"/>
  <c r="F227" i="2"/>
  <c r="G227" i="2" s="1"/>
  <c r="E228" i="2"/>
  <c r="F228" i="3"/>
  <c r="G228" i="3" s="1"/>
  <c r="E229" i="3"/>
  <c r="E229" i="4" l="1"/>
  <c r="F228" i="4"/>
  <c r="G228" i="4" s="1"/>
  <c r="E229" i="1"/>
  <c r="F228" i="1"/>
  <c r="G228" i="1" s="1"/>
  <c r="F228" i="2"/>
  <c r="G228" i="2" s="1"/>
  <c r="E229" i="2"/>
  <c r="F229" i="3"/>
  <c r="G229" i="3" s="1"/>
  <c r="E230" i="3"/>
  <c r="E230" i="4" l="1"/>
  <c r="F229" i="4"/>
  <c r="G229" i="4" s="1"/>
  <c r="E230" i="1"/>
  <c r="F229" i="1"/>
  <c r="G229" i="1" s="1"/>
  <c r="F229" i="2"/>
  <c r="G229" i="2" s="1"/>
  <c r="E230" i="2"/>
  <c r="F230" i="3"/>
  <c r="G230" i="3" s="1"/>
  <c r="E231" i="3"/>
  <c r="E231" i="4" l="1"/>
  <c r="F230" i="4"/>
  <c r="G230" i="4" s="1"/>
  <c r="F230" i="1"/>
  <c r="G230" i="1" s="1"/>
  <c r="E231" i="1"/>
  <c r="E231" i="2"/>
  <c r="F230" i="2"/>
  <c r="G230" i="2" s="1"/>
  <c r="E232" i="3"/>
  <c r="F231" i="3"/>
  <c r="G231" i="3" s="1"/>
  <c r="F231" i="4" l="1"/>
  <c r="G231" i="4" s="1"/>
  <c r="E232" i="4"/>
  <c r="E232" i="1"/>
  <c r="F231" i="1"/>
  <c r="G231" i="1" s="1"/>
  <c r="F231" i="2"/>
  <c r="G231" i="2" s="1"/>
  <c r="E232" i="2"/>
  <c r="F232" i="3"/>
  <c r="G232" i="3" s="1"/>
  <c r="E233" i="3"/>
  <c r="F232" i="4" l="1"/>
  <c r="G232" i="4" s="1"/>
  <c r="E233" i="4"/>
  <c r="E233" i="1"/>
  <c r="F232" i="1"/>
  <c r="G232" i="1" s="1"/>
  <c r="F232" i="2"/>
  <c r="G232" i="2" s="1"/>
  <c r="E233" i="2"/>
  <c r="F233" i="3"/>
  <c r="G233" i="3" s="1"/>
  <c r="E234" i="3"/>
  <c r="F233" i="4" l="1"/>
  <c r="G233" i="4" s="1"/>
  <c r="E234" i="4"/>
  <c r="E234" i="1"/>
  <c r="F233" i="1"/>
  <c r="G233" i="1" s="1"/>
  <c r="F233" i="2"/>
  <c r="G233" i="2" s="1"/>
  <c r="E234" i="2"/>
  <c r="F234" i="3"/>
  <c r="G234" i="3" s="1"/>
  <c r="E235" i="3"/>
  <c r="E235" i="4" l="1"/>
  <c r="F234" i="4"/>
  <c r="G234" i="4" s="1"/>
  <c r="E235" i="1"/>
  <c r="F234" i="1"/>
  <c r="G234" i="1" s="1"/>
  <c r="F234" i="2"/>
  <c r="G234" i="2" s="1"/>
  <c r="E235" i="2"/>
  <c r="F235" i="3"/>
  <c r="G235" i="3" s="1"/>
  <c r="E236" i="3"/>
  <c r="F235" i="4" l="1"/>
  <c r="G235" i="4" s="1"/>
  <c r="E236" i="4"/>
  <c r="F235" i="1"/>
  <c r="G235" i="1" s="1"/>
  <c r="E236" i="1"/>
  <c r="F235" i="2"/>
  <c r="G235" i="2" s="1"/>
  <c r="E236" i="2"/>
  <c r="F236" i="3"/>
  <c r="G236" i="3" s="1"/>
  <c r="E237" i="3"/>
  <c r="E237" i="4" l="1"/>
  <c r="F236" i="4"/>
  <c r="G236" i="4" s="1"/>
  <c r="F236" i="1"/>
  <c r="G236" i="1" s="1"/>
  <c r="E237" i="1"/>
  <c r="F236" i="2"/>
  <c r="G236" i="2" s="1"/>
  <c r="E237" i="2"/>
  <c r="F237" i="3"/>
  <c r="G237" i="3" s="1"/>
  <c r="E238" i="3"/>
  <c r="F237" i="4" l="1"/>
  <c r="G237" i="4" s="1"/>
  <c r="E238" i="4"/>
  <c r="F237" i="1"/>
  <c r="G237" i="1" s="1"/>
  <c r="E238" i="1"/>
  <c r="F237" i="2"/>
  <c r="G237" i="2" s="1"/>
  <c r="E238" i="2"/>
  <c r="E239" i="3"/>
  <c r="F238" i="3"/>
  <c r="G238" i="3" s="1"/>
  <c r="E239" i="4" l="1"/>
  <c r="F238" i="4"/>
  <c r="G238" i="4" s="1"/>
  <c r="F238" i="1"/>
  <c r="G238" i="1" s="1"/>
  <c r="E239" i="1"/>
  <c r="E239" i="2"/>
  <c r="F238" i="2"/>
  <c r="G238" i="2" s="1"/>
  <c r="E240" i="3"/>
  <c r="F239" i="3"/>
  <c r="G239" i="3" s="1"/>
  <c r="E240" i="4" l="1"/>
  <c r="F239" i="4"/>
  <c r="G239" i="4" s="1"/>
  <c r="F239" i="1"/>
  <c r="G239" i="1" s="1"/>
  <c r="E240" i="1"/>
  <c r="F239" i="2"/>
  <c r="G239" i="2" s="1"/>
  <c r="E240" i="2"/>
  <c r="F240" i="3"/>
  <c r="G240" i="3" s="1"/>
  <c r="E241" i="3"/>
  <c r="E241" i="4" l="1"/>
  <c r="F240" i="4"/>
  <c r="G240" i="4" s="1"/>
  <c r="F240" i="1"/>
  <c r="G240" i="1" s="1"/>
  <c r="E241" i="1"/>
  <c r="E241" i="2"/>
  <c r="F240" i="2"/>
  <c r="G240" i="2" s="1"/>
  <c r="F241" i="3"/>
  <c r="G241" i="3" s="1"/>
  <c r="E242" i="3"/>
  <c r="F241" i="4" l="1"/>
  <c r="G241" i="4" s="1"/>
  <c r="E242" i="4"/>
  <c r="F241" i="1"/>
  <c r="G241" i="1" s="1"/>
  <c r="E242" i="1"/>
  <c r="F241" i="2"/>
  <c r="G241" i="2" s="1"/>
  <c r="E242" i="2"/>
  <c r="F242" i="3"/>
  <c r="G242" i="3" s="1"/>
  <c r="E243" i="3"/>
  <c r="E243" i="4" l="1"/>
  <c r="F242" i="4"/>
  <c r="G242" i="4" s="1"/>
  <c r="F242" i="1"/>
  <c r="G242" i="1" s="1"/>
  <c r="E243" i="1"/>
  <c r="E243" i="2"/>
  <c r="F242" i="2"/>
  <c r="G242" i="2" s="1"/>
  <c r="F243" i="3"/>
  <c r="G243" i="3" s="1"/>
  <c r="E244" i="3"/>
  <c r="E244" i="4" l="1"/>
  <c r="F243" i="4"/>
  <c r="G243" i="4" s="1"/>
  <c r="E244" i="1"/>
  <c r="F243" i="1"/>
  <c r="G243" i="1" s="1"/>
  <c r="F243" i="2"/>
  <c r="G243" i="2" s="1"/>
  <c r="E244" i="2"/>
  <c r="E245" i="3"/>
  <c r="F244" i="3"/>
  <c r="G244" i="3" s="1"/>
  <c r="F244" i="4" l="1"/>
  <c r="G244" i="4" s="1"/>
  <c r="E245" i="4"/>
  <c r="F244" i="1"/>
  <c r="G244" i="1" s="1"/>
  <c r="E245" i="1"/>
  <c r="F244" i="2"/>
  <c r="G244" i="2" s="1"/>
  <c r="E245" i="2"/>
  <c r="F245" i="3"/>
  <c r="G245" i="3" s="1"/>
  <c r="E246" i="3"/>
  <c r="F245" i="4" l="1"/>
  <c r="G245" i="4" s="1"/>
  <c r="E246" i="4"/>
  <c r="E246" i="1"/>
  <c r="F245" i="1"/>
  <c r="G245" i="1" s="1"/>
  <c r="F245" i="2"/>
  <c r="G245" i="2" s="1"/>
  <c r="E246" i="2"/>
  <c r="F246" i="3"/>
  <c r="G246" i="3" s="1"/>
  <c r="E247" i="3"/>
  <c r="E247" i="4" l="1"/>
  <c r="F246" i="4"/>
  <c r="G246" i="4" s="1"/>
  <c r="F246" i="1"/>
  <c r="G246" i="1" s="1"/>
  <c r="E247" i="1"/>
  <c r="E247" i="2"/>
  <c r="F246" i="2"/>
  <c r="G246" i="2" s="1"/>
  <c r="F247" i="3"/>
  <c r="G247" i="3" s="1"/>
  <c r="E248" i="3"/>
  <c r="E248" i="4" l="1"/>
  <c r="F247" i="4"/>
  <c r="G247" i="4" s="1"/>
  <c r="E248" i="1"/>
  <c r="F247" i="1"/>
  <c r="G247" i="1" s="1"/>
  <c r="F247" i="2"/>
  <c r="G247" i="2" s="1"/>
  <c r="E248" i="2"/>
  <c r="F248" i="3"/>
  <c r="G248" i="3" s="1"/>
  <c r="E249" i="3"/>
  <c r="F248" i="4" l="1"/>
  <c r="G248" i="4" s="1"/>
  <c r="E249" i="4"/>
  <c r="F248" i="1"/>
  <c r="G248" i="1" s="1"/>
  <c r="E249" i="1"/>
  <c r="E249" i="2"/>
  <c r="F248" i="2"/>
  <c r="G248" i="2" s="1"/>
  <c r="F249" i="3"/>
  <c r="G249" i="3" s="1"/>
  <c r="E250" i="3"/>
  <c r="E250" i="4" l="1"/>
  <c r="F249" i="4"/>
  <c r="G249" i="4" s="1"/>
  <c r="E250" i="1"/>
  <c r="F249" i="1"/>
  <c r="G249" i="1" s="1"/>
  <c r="F249" i="2"/>
  <c r="G249" i="2" s="1"/>
  <c r="E250" i="2"/>
  <c r="F250" i="3"/>
  <c r="G250" i="3" s="1"/>
  <c r="E251" i="3"/>
  <c r="E251" i="4" l="1"/>
  <c r="F250" i="4"/>
  <c r="G250" i="4" s="1"/>
  <c r="F250" i="1"/>
  <c r="G250" i="1" s="1"/>
  <c r="E251" i="1"/>
  <c r="E251" i="2"/>
  <c r="F250" i="2"/>
  <c r="G250" i="2" s="1"/>
  <c r="F251" i="3"/>
  <c r="G251" i="3" s="1"/>
  <c r="E252" i="3"/>
  <c r="F251" i="4" l="1"/>
  <c r="G251" i="4" s="1"/>
  <c r="E252" i="4"/>
  <c r="F251" i="1"/>
  <c r="G251" i="1" s="1"/>
  <c r="E252" i="1"/>
  <c r="E252" i="2"/>
  <c r="F251" i="2"/>
  <c r="G251" i="2" s="1"/>
  <c r="F252" i="3"/>
  <c r="G252" i="3" s="1"/>
  <c r="E253" i="3"/>
  <c r="F252" i="4" l="1"/>
  <c r="G252" i="4" s="1"/>
  <c r="E253" i="4"/>
  <c r="F252" i="1"/>
  <c r="G252" i="1" s="1"/>
  <c r="E253" i="1"/>
  <c r="E253" i="2"/>
  <c r="F252" i="2"/>
  <c r="G252" i="2" s="1"/>
  <c r="F253" i="3"/>
  <c r="G253" i="3" s="1"/>
  <c r="E254" i="3"/>
  <c r="E254" i="4" l="1"/>
  <c r="F253" i="4"/>
  <c r="G253" i="4" s="1"/>
  <c r="F253" i="1"/>
  <c r="G253" i="1" s="1"/>
  <c r="E254" i="1"/>
  <c r="F253" i="2"/>
  <c r="G253" i="2" s="1"/>
  <c r="E254" i="2"/>
  <c r="F254" i="3"/>
  <c r="G254" i="3" s="1"/>
  <c r="E255" i="3"/>
  <c r="E255" i="4" l="1"/>
  <c r="F254" i="4"/>
  <c r="G254" i="4" s="1"/>
  <c r="F254" i="1"/>
  <c r="G254" i="1" s="1"/>
  <c r="E255" i="1"/>
  <c r="F254" i="2"/>
  <c r="G254" i="2" s="1"/>
  <c r="E255" i="2"/>
  <c r="F255" i="3"/>
  <c r="G255" i="3" s="1"/>
  <c r="E256" i="3"/>
  <c r="F255" i="4" l="1"/>
  <c r="G255" i="4" s="1"/>
  <c r="E256" i="4"/>
  <c r="E256" i="1"/>
  <c r="F255" i="1"/>
  <c r="G255" i="1" s="1"/>
  <c r="F255" i="2"/>
  <c r="G255" i="2" s="1"/>
  <c r="E256" i="2"/>
  <c r="F256" i="3"/>
  <c r="G256" i="3" s="1"/>
  <c r="E257" i="3"/>
  <c r="E257" i="4" l="1"/>
  <c r="F256" i="4"/>
  <c r="G256" i="4" s="1"/>
  <c r="F256" i="1"/>
  <c r="G256" i="1" s="1"/>
  <c r="E257" i="1"/>
  <c r="E257" i="2"/>
  <c r="F256" i="2"/>
  <c r="G256" i="2" s="1"/>
  <c r="F257" i="3"/>
  <c r="G257" i="3" s="1"/>
  <c r="E258" i="3"/>
  <c r="F257" i="4" l="1"/>
  <c r="G257" i="4" s="1"/>
  <c r="E258" i="4"/>
  <c r="F257" i="1"/>
  <c r="G257" i="1" s="1"/>
  <c r="E258" i="1"/>
  <c r="F257" i="2"/>
  <c r="G257" i="2" s="1"/>
  <c r="E258" i="2"/>
  <c r="E259" i="3"/>
  <c r="F258" i="3"/>
  <c r="G258" i="3" s="1"/>
  <c r="F258" i="4" l="1"/>
  <c r="G258" i="4" s="1"/>
  <c r="E259" i="4"/>
  <c r="F258" i="1"/>
  <c r="G258" i="1" s="1"/>
  <c r="E259" i="1"/>
  <c r="E259" i="2"/>
  <c r="F258" i="2"/>
  <c r="G258" i="2" s="1"/>
  <c r="F259" i="3"/>
  <c r="G259" i="3" s="1"/>
  <c r="E260" i="3"/>
  <c r="E260" i="4" l="1"/>
  <c r="F259" i="4"/>
  <c r="G259" i="4" s="1"/>
  <c r="F259" i="1"/>
  <c r="G259" i="1" s="1"/>
  <c r="E260" i="1"/>
  <c r="F259" i="2"/>
  <c r="G259" i="2" s="1"/>
  <c r="E260" i="2"/>
  <c r="F260" i="3"/>
  <c r="G260" i="3" s="1"/>
  <c r="E261" i="3"/>
  <c r="E261" i="4" l="1"/>
  <c r="F260" i="4"/>
  <c r="G260" i="4" s="1"/>
  <c r="F260" i="1"/>
  <c r="G260" i="1" s="1"/>
  <c r="E261" i="1"/>
  <c r="F260" i="2"/>
  <c r="G260" i="2" s="1"/>
  <c r="E261" i="2"/>
  <c r="F261" i="3"/>
  <c r="G261" i="3" s="1"/>
  <c r="E262" i="3"/>
  <c r="E262" i="4" l="1"/>
  <c r="F261" i="4"/>
  <c r="G261" i="4" s="1"/>
  <c r="F261" i="1"/>
  <c r="G261" i="1" s="1"/>
  <c r="E262" i="1"/>
  <c r="F261" i="2"/>
  <c r="G261" i="2" s="1"/>
  <c r="E262" i="2"/>
  <c r="E263" i="3"/>
  <c r="F262" i="3"/>
  <c r="G262" i="3" s="1"/>
  <c r="F262" i="4" l="1"/>
  <c r="G262" i="4" s="1"/>
  <c r="E263" i="4"/>
  <c r="F262" i="1"/>
  <c r="G262" i="1" s="1"/>
  <c r="E263" i="1"/>
  <c r="F262" i="2"/>
  <c r="G262" i="2" s="1"/>
  <c r="E263" i="2"/>
  <c r="F263" i="3"/>
  <c r="G263" i="3" s="1"/>
  <c r="E264" i="3"/>
  <c r="F263" i="4" l="1"/>
  <c r="G263" i="4" s="1"/>
  <c r="E264" i="4"/>
  <c r="F263" i="1"/>
  <c r="G263" i="1" s="1"/>
  <c r="E264" i="1"/>
  <c r="E264" i="2"/>
  <c r="F263" i="2"/>
  <c r="G263" i="2" s="1"/>
  <c r="F264" i="3"/>
  <c r="G264" i="3" s="1"/>
  <c r="E265" i="3"/>
  <c r="E265" i="4" l="1"/>
  <c r="F264" i="4"/>
  <c r="G264" i="4" s="1"/>
  <c r="F264" i="1"/>
  <c r="G264" i="1" s="1"/>
  <c r="E265" i="1"/>
  <c r="F264" i="2"/>
  <c r="G264" i="2" s="1"/>
  <c r="E265" i="2"/>
  <c r="F265" i="3"/>
  <c r="G265" i="3" s="1"/>
  <c r="E266" i="3"/>
  <c r="E266" i="4" l="1"/>
  <c r="F265" i="4"/>
  <c r="G265" i="4" s="1"/>
  <c r="F265" i="1"/>
  <c r="G265" i="1" s="1"/>
  <c r="E266" i="1"/>
  <c r="F265" i="2"/>
  <c r="G265" i="2" s="1"/>
  <c r="E266" i="2"/>
  <c r="E267" i="3"/>
  <c r="F266" i="3"/>
  <c r="G266" i="3" s="1"/>
  <c r="F266" i="4" l="1"/>
  <c r="G266" i="4" s="1"/>
  <c r="E267" i="4"/>
  <c r="F266" i="1"/>
  <c r="G266" i="1" s="1"/>
  <c r="E267" i="1"/>
  <c r="F266" i="2"/>
  <c r="G266" i="2" s="1"/>
  <c r="E267" i="2"/>
  <c r="F267" i="3"/>
  <c r="G267" i="3" s="1"/>
  <c r="E268" i="3"/>
  <c r="F267" i="4" l="1"/>
  <c r="G267" i="4" s="1"/>
  <c r="E268" i="4"/>
  <c r="E268" i="1"/>
  <c r="F267" i="1"/>
  <c r="G267" i="1" s="1"/>
  <c r="F267" i="2"/>
  <c r="G267" i="2" s="1"/>
  <c r="E268" i="2"/>
  <c r="F268" i="3"/>
  <c r="G268" i="3" s="1"/>
  <c r="E269" i="3"/>
  <c r="F268" i="4" l="1"/>
  <c r="G268" i="4" s="1"/>
  <c r="E269" i="4"/>
  <c r="F268" i="1"/>
  <c r="G268" i="1" s="1"/>
  <c r="E269" i="1"/>
  <c r="E269" i="2"/>
  <c r="F268" i="2"/>
  <c r="G268" i="2" s="1"/>
  <c r="F269" i="3"/>
  <c r="G269" i="3" s="1"/>
  <c r="E270" i="3"/>
  <c r="E270" i="4" l="1"/>
  <c r="F269" i="4"/>
  <c r="G269" i="4" s="1"/>
  <c r="F269" i="1"/>
  <c r="G269" i="1" s="1"/>
  <c r="E270" i="1"/>
  <c r="F269" i="2"/>
  <c r="G269" i="2" s="1"/>
  <c r="E270" i="2"/>
  <c r="E271" i="3"/>
  <c r="F270" i="3"/>
  <c r="G270" i="3" s="1"/>
  <c r="F270" i="4" l="1"/>
  <c r="G270" i="4" s="1"/>
  <c r="E271" i="4"/>
  <c r="F270" i="1"/>
  <c r="G270" i="1" s="1"/>
  <c r="E271" i="1"/>
  <c r="F270" i="2"/>
  <c r="G270" i="2" s="1"/>
  <c r="E271" i="2"/>
  <c r="F271" i="3"/>
  <c r="G271" i="3" s="1"/>
  <c r="E272" i="3"/>
  <c r="F271" i="4" l="1"/>
  <c r="G271" i="4" s="1"/>
  <c r="E272" i="4"/>
  <c r="F271" i="1"/>
  <c r="G271" i="1" s="1"/>
  <c r="E272" i="1"/>
  <c r="F271" i="2"/>
  <c r="G271" i="2" s="1"/>
  <c r="E272" i="2"/>
  <c r="E273" i="3"/>
  <c r="F272" i="3"/>
  <c r="G272" i="3" s="1"/>
  <c r="E273" i="4" l="1"/>
  <c r="F272" i="4"/>
  <c r="G272" i="4" s="1"/>
  <c r="F272" i="1"/>
  <c r="G272" i="1" s="1"/>
  <c r="E273" i="1"/>
  <c r="F272" i="2"/>
  <c r="G272" i="2" s="1"/>
  <c r="E273" i="2"/>
  <c r="F273" i="3"/>
  <c r="G273" i="3" s="1"/>
  <c r="E274" i="3"/>
  <c r="E274" i="4" l="1"/>
  <c r="F273" i="4"/>
  <c r="G273" i="4" s="1"/>
  <c r="E274" i="1"/>
  <c r="F273" i="1"/>
  <c r="G273" i="1" s="1"/>
  <c r="E274" i="2"/>
  <c r="F273" i="2"/>
  <c r="G273" i="2" s="1"/>
  <c r="E275" i="3"/>
  <c r="F274" i="3"/>
  <c r="G274" i="3" s="1"/>
  <c r="F274" i="4" l="1"/>
  <c r="G274" i="4" s="1"/>
  <c r="E275" i="4"/>
  <c r="F274" i="1"/>
  <c r="G274" i="1" s="1"/>
  <c r="E275" i="1"/>
  <c r="F274" i="2"/>
  <c r="G274" i="2" s="1"/>
  <c r="E275" i="2"/>
  <c r="F275" i="3"/>
  <c r="G275" i="3" s="1"/>
  <c r="E276" i="3"/>
  <c r="F275" i="4" l="1"/>
  <c r="G275" i="4" s="1"/>
  <c r="E276" i="4"/>
  <c r="F275" i="1"/>
  <c r="G275" i="1" s="1"/>
  <c r="E276" i="1"/>
  <c r="E276" i="2"/>
  <c r="F275" i="2"/>
  <c r="G275" i="2" s="1"/>
  <c r="F276" i="3"/>
  <c r="G276" i="3" s="1"/>
  <c r="E277" i="3"/>
  <c r="F276" i="4" l="1"/>
  <c r="G276" i="4" s="1"/>
  <c r="E277" i="4"/>
  <c r="F276" i="1"/>
  <c r="G276" i="1" s="1"/>
  <c r="E277" i="1"/>
  <c r="E277" i="2"/>
  <c r="F276" i="2"/>
  <c r="G276" i="2" s="1"/>
  <c r="F277" i="3"/>
  <c r="G277" i="3" s="1"/>
  <c r="E278" i="3"/>
  <c r="F277" i="4" l="1"/>
  <c r="G277" i="4" s="1"/>
  <c r="E278" i="4"/>
  <c r="E278" i="1"/>
  <c r="F277" i="1"/>
  <c r="G277" i="1" s="1"/>
  <c r="F277" i="2"/>
  <c r="G277" i="2" s="1"/>
  <c r="E278" i="2"/>
  <c r="E279" i="3"/>
  <c r="F278" i="3"/>
  <c r="G278" i="3" s="1"/>
  <c r="F278" i="4" l="1"/>
  <c r="G278" i="4" s="1"/>
  <c r="E279" i="4"/>
  <c r="F278" i="1"/>
  <c r="G278" i="1" s="1"/>
  <c r="E279" i="1"/>
  <c r="F278" i="2"/>
  <c r="G278" i="2" s="1"/>
  <c r="E279" i="2"/>
  <c r="F279" i="3"/>
  <c r="G279" i="3" s="1"/>
  <c r="E280" i="3"/>
  <c r="F279" i="4" l="1"/>
  <c r="G279" i="4" s="1"/>
  <c r="E280" i="4"/>
  <c r="F279" i="1"/>
  <c r="G279" i="1" s="1"/>
  <c r="E280" i="1"/>
  <c r="F279" i="2"/>
  <c r="G279" i="2" s="1"/>
  <c r="E280" i="2"/>
  <c r="E281" i="3"/>
  <c r="F280" i="3"/>
  <c r="G280" i="3" s="1"/>
  <c r="F280" i="4" l="1"/>
  <c r="G280" i="4" s="1"/>
  <c r="E281" i="4"/>
  <c r="F280" i="1"/>
  <c r="G280" i="1" s="1"/>
  <c r="E281" i="1"/>
  <c r="F280" i="2"/>
  <c r="G280" i="2" s="1"/>
  <c r="E281" i="2"/>
  <c r="F281" i="3"/>
  <c r="G281" i="3" s="1"/>
  <c r="E282" i="3"/>
  <c r="F281" i="4" l="1"/>
  <c r="G281" i="4" s="1"/>
  <c r="E282" i="4"/>
  <c r="F281" i="1"/>
  <c r="G281" i="1" s="1"/>
  <c r="E282" i="1"/>
  <c r="F281" i="2"/>
  <c r="G281" i="2" s="1"/>
  <c r="E282" i="2"/>
  <c r="F282" i="3"/>
  <c r="G282" i="3" s="1"/>
  <c r="E283" i="3"/>
  <c r="E283" i="4" l="1"/>
  <c r="F282" i="4"/>
  <c r="G282" i="4" s="1"/>
  <c r="F282" i="1"/>
  <c r="G282" i="1" s="1"/>
  <c r="E283" i="1"/>
  <c r="F282" i="2"/>
  <c r="G282" i="2" s="1"/>
  <c r="E283" i="2"/>
  <c r="F283" i="3"/>
  <c r="G283" i="3" s="1"/>
  <c r="E284" i="3"/>
  <c r="F283" i="4" l="1"/>
  <c r="G283" i="4" s="1"/>
  <c r="E284" i="4"/>
  <c r="F283" i="1"/>
  <c r="G283" i="1" s="1"/>
  <c r="E284" i="1"/>
  <c r="F283" i="2"/>
  <c r="G283" i="2" s="1"/>
  <c r="E284" i="2"/>
  <c r="F284" i="3"/>
  <c r="G284" i="3" s="1"/>
  <c r="E285" i="3"/>
  <c r="E285" i="4" l="1"/>
  <c r="F284" i="4"/>
  <c r="G284" i="4" s="1"/>
  <c r="F284" i="1"/>
  <c r="G284" i="1" s="1"/>
  <c r="E285" i="1"/>
  <c r="F284" i="2"/>
  <c r="G284" i="2" s="1"/>
  <c r="E285" i="2"/>
  <c r="F285" i="3"/>
  <c r="G285" i="3" s="1"/>
  <c r="E286" i="3"/>
  <c r="F285" i="4" l="1"/>
  <c r="G285" i="4" s="1"/>
  <c r="E286" i="4"/>
  <c r="F285" i="1"/>
  <c r="G285" i="1" s="1"/>
  <c r="E286" i="1"/>
  <c r="F285" i="2"/>
  <c r="G285" i="2" s="1"/>
  <c r="E286" i="2"/>
  <c r="F286" i="3"/>
  <c r="G286" i="3" s="1"/>
  <c r="E287" i="3"/>
  <c r="F286" i="4" l="1"/>
  <c r="G286" i="4" s="1"/>
  <c r="E287" i="4"/>
  <c r="F286" i="1"/>
  <c r="G286" i="1" s="1"/>
  <c r="E287" i="1"/>
  <c r="F286" i="2"/>
  <c r="G286" i="2" s="1"/>
  <c r="E287" i="2"/>
  <c r="F287" i="3"/>
  <c r="G287" i="3" s="1"/>
  <c r="E288" i="3"/>
  <c r="E288" i="4" l="1"/>
  <c r="F287" i="4"/>
  <c r="G287" i="4" s="1"/>
  <c r="F287" i="1"/>
  <c r="G287" i="1" s="1"/>
  <c r="E288" i="1"/>
  <c r="F287" i="2"/>
  <c r="G287" i="2" s="1"/>
  <c r="E288" i="2"/>
  <c r="F288" i="3"/>
  <c r="G288" i="3" s="1"/>
  <c r="E289" i="3"/>
  <c r="E289" i="4" l="1"/>
  <c r="F288" i="4"/>
  <c r="G288" i="4" s="1"/>
  <c r="F288" i="1"/>
  <c r="G288" i="1" s="1"/>
  <c r="E289" i="1"/>
  <c r="E289" i="2"/>
  <c r="F288" i="2"/>
  <c r="G288" i="2" s="1"/>
  <c r="F289" i="3"/>
  <c r="G289" i="3" s="1"/>
  <c r="E290" i="3"/>
  <c r="F289" i="4" l="1"/>
  <c r="G289" i="4" s="1"/>
  <c r="E290" i="4"/>
  <c r="F289" i="1"/>
  <c r="G289" i="1" s="1"/>
  <c r="E290" i="1"/>
  <c r="F289" i="2"/>
  <c r="G289" i="2" s="1"/>
  <c r="E290" i="2"/>
  <c r="E291" i="3"/>
  <c r="F290" i="3"/>
  <c r="G290" i="3" s="1"/>
  <c r="F290" i="4" l="1"/>
  <c r="G290" i="4" s="1"/>
  <c r="E291" i="4"/>
  <c r="E291" i="1"/>
  <c r="F290" i="1"/>
  <c r="G290" i="1" s="1"/>
  <c r="F290" i="2"/>
  <c r="G290" i="2" s="1"/>
  <c r="E291" i="2"/>
  <c r="F291" i="3"/>
  <c r="G291" i="3" s="1"/>
  <c r="E292" i="3"/>
  <c r="E292" i="4" l="1"/>
  <c r="F291" i="4"/>
  <c r="G291" i="4" s="1"/>
  <c r="F291" i="1"/>
  <c r="G291" i="1" s="1"/>
  <c r="E292" i="1"/>
  <c r="F291" i="2"/>
  <c r="G291" i="2" s="1"/>
  <c r="E292" i="2"/>
  <c r="F292" i="3"/>
  <c r="G292" i="3" s="1"/>
  <c r="E293" i="3"/>
  <c r="F292" i="4" l="1"/>
  <c r="G292" i="4" s="1"/>
  <c r="E293" i="4"/>
  <c r="E293" i="1"/>
  <c r="F292" i="1"/>
  <c r="G292" i="1" s="1"/>
  <c r="F292" i="2"/>
  <c r="G292" i="2" s="1"/>
  <c r="E293" i="2"/>
  <c r="F293" i="3"/>
  <c r="G293" i="3" s="1"/>
  <c r="E294" i="3"/>
  <c r="F293" i="4" l="1"/>
  <c r="G293" i="4" s="1"/>
  <c r="E294" i="4"/>
  <c r="F293" i="1"/>
  <c r="G293" i="1" s="1"/>
  <c r="E294" i="1"/>
  <c r="F293" i="2"/>
  <c r="G293" i="2" s="1"/>
  <c r="E294" i="2"/>
  <c r="E295" i="3"/>
  <c r="F294" i="3"/>
  <c r="G294" i="3" s="1"/>
  <c r="E295" i="4" l="1"/>
  <c r="F294" i="4"/>
  <c r="G294" i="4" s="1"/>
  <c r="E295" i="1"/>
  <c r="F294" i="1"/>
  <c r="G294" i="1" s="1"/>
  <c r="F294" i="2"/>
  <c r="G294" i="2" s="1"/>
  <c r="E295" i="2"/>
  <c r="F295" i="3"/>
  <c r="G295" i="3" s="1"/>
  <c r="E296" i="3"/>
  <c r="F295" i="4" l="1"/>
  <c r="G295" i="4" s="1"/>
  <c r="E296" i="4"/>
  <c r="F295" i="1"/>
  <c r="G295" i="1" s="1"/>
  <c r="E296" i="1"/>
  <c r="F295" i="2"/>
  <c r="G295" i="2" s="1"/>
  <c r="E296" i="2"/>
  <c r="F296" i="3"/>
  <c r="G296" i="3" s="1"/>
  <c r="E297" i="3"/>
  <c r="F296" i="4" l="1"/>
  <c r="G296" i="4" s="1"/>
  <c r="E297" i="4"/>
  <c r="E297" i="1"/>
  <c r="F296" i="1"/>
  <c r="G296" i="1" s="1"/>
  <c r="F296" i="2"/>
  <c r="G296" i="2" s="1"/>
  <c r="E297" i="2"/>
  <c r="F297" i="3"/>
  <c r="G297" i="3" s="1"/>
  <c r="E298" i="3"/>
  <c r="E298" i="4" l="1"/>
  <c r="F297" i="4"/>
  <c r="G297" i="4" s="1"/>
  <c r="F297" i="1"/>
  <c r="G297" i="1" s="1"/>
  <c r="E298" i="1"/>
  <c r="E298" i="2"/>
  <c r="F297" i="2"/>
  <c r="G297" i="2" s="1"/>
  <c r="E299" i="3"/>
  <c r="F298" i="3"/>
  <c r="G298" i="3" s="1"/>
  <c r="E299" i="4" l="1"/>
  <c r="F298" i="4"/>
  <c r="G298" i="4" s="1"/>
  <c r="E299" i="1"/>
  <c r="F298" i="1"/>
  <c r="G298" i="1" s="1"/>
  <c r="F298" i="2"/>
  <c r="G298" i="2" s="1"/>
  <c r="E299" i="2"/>
  <c r="F299" i="3"/>
  <c r="G299" i="3" s="1"/>
  <c r="E300" i="3"/>
  <c r="E300" i="4" l="1"/>
  <c r="F299" i="4"/>
  <c r="G299" i="4" s="1"/>
  <c r="F299" i="1"/>
  <c r="G299" i="1" s="1"/>
  <c r="E300" i="1"/>
  <c r="F299" i="2"/>
  <c r="G299" i="2" s="1"/>
  <c r="E300" i="2"/>
  <c r="E301" i="3"/>
  <c r="F300" i="3"/>
  <c r="G300" i="3" s="1"/>
  <c r="F300" i="4" l="1"/>
  <c r="G300" i="4" s="1"/>
  <c r="E301" i="4"/>
  <c r="E301" i="1"/>
  <c r="F300" i="1"/>
  <c r="G300" i="1" s="1"/>
  <c r="F300" i="2"/>
  <c r="G300" i="2" s="1"/>
  <c r="E301" i="2"/>
  <c r="F301" i="3"/>
  <c r="G301" i="3" s="1"/>
  <c r="E302" i="3"/>
  <c r="E302" i="4" l="1"/>
  <c r="F301" i="4"/>
  <c r="G301" i="4" s="1"/>
  <c r="F301" i="1"/>
  <c r="G301" i="1" s="1"/>
  <c r="E302" i="1"/>
  <c r="F301" i="2"/>
  <c r="G301" i="2" s="1"/>
  <c r="E302" i="2"/>
  <c r="E303" i="3"/>
  <c r="F302" i="3"/>
  <c r="G302" i="3" s="1"/>
  <c r="E303" i="4" l="1"/>
  <c r="F302" i="4"/>
  <c r="G302" i="4" s="1"/>
  <c r="F302" i="1"/>
  <c r="G302" i="1" s="1"/>
  <c r="E303" i="1"/>
  <c r="F302" i="2"/>
  <c r="G302" i="2" s="1"/>
  <c r="E303" i="2"/>
  <c r="F303" i="3"/>
  <c r="G303" i="3" s="1"/>
  <c r="E304" i="3"/>
  <c r="F303" i="4" l="1"/>
  <c r="G303" i="4" s="1"/>
  <c r="E304" i="4"/>
  <c r="F303" i="1"/>
  <c r="G303" i="1" s="1"/>
  <c r="E304" i="1"/>
  <c r="F303" i="2"/>
  <c r="G303" i="2" s="1"/>
  <c r="E304" i="2"/>
  <c r="F304" i="3"/>
  <c r="G304" i="3" s="1"/>
  <c r="E305" i="3"/>
  <c r="E305" i="4" l="1"/>
  <c r="F304" i="4"/>
  <c r="G304" i="4" s="1"/>
  <c r="F304" i="1"/>
  <c r="G304" i="1" s="1"/>
  <c r="E305" i="1"/>
  <c r="F304" i="2"/>
  <c r="G304" i="2" s="1"/>
  <c r="E305" i="2"/>
  <c r="F305" i="3"/>
  <c r="G305" i="3" s="1"/>
  <c r="E306" i="3"/>
  <c r="E306" i="4" l="1"/>
  <c r="F305" i="4"/>
  <c r="G305" i="4" s="1"/>
  <c r="F305" i="1"/>
  <c r="G305" i="1" s="1"/>
  <c r="E306" i="1"/>
  <c r="F305" i="2"/>
  <c r="G305" i="2" s="1"/>
  <c r="E306" i="2"/>
  <c r="F306" i="3"/>
  <c r="G306" i="3" s="1"/>
  <c r="E307" i="3"/>
  <c r="F306" i="4" l="1"/>
  <c r="G306" i="4" s="1"/>
  <c r="E307" i="4"/>
  <c r="E307" i="1"/>
  <c r="F306" i="1"/>
  <c r="G306" i="1" s="1"/>
  <c r="F306" i="2"/>
  <c r="G306" i="2" s="1"/>
  <c r="E307" i="2"/>
  <c r="F307" i="3"/>
  <c r="G307" i="3" s="1"/>
  <c r="E308" i="3"/>
  <c r="F307" i="4" l="1"/>
  <c r="G307" i="4" s="1"/>
  <c r="E308" i="4"/>
  <c r="F307" i="1"/>
  <c r="G307" i="1" s="1"/>
  <c r="E308" i="1"/>
  <c r="F307" i="2"/>
  <c r="G307" i="2" s="1"/>
  <c r="E308" i="2"/>
  <c r="E309" i="3"/>
  <c r="F308" i="3"/>
  <c r="G308" i="3" s="1"/>
  <c r="E309" i="4" l="1"/>
  <c r="F308" i="4"/>
  <c r="G308" i="4" s="1"/>
  <c r="E309" i="1"/>
  <c r="F308" i="1"/>
  <c r="G308" i="1" s="1"/>
  <c r="F308" i="2"/>
  <c r="G308" i="2" s="1"/>
  <c r="E309" i="2"/>
  <c r="F309" i="3"/>
  <c r="G309" i="3" s="1"/>
  <c r="E310" i="3"/>
  <c r="F309" i="4" l="1"/>
  <c r="G309" i="4" s="1"/>
  <c r="E310" i="4"/>
  <c r="E310" i="1"/>
  <c r="F309" i="1"/>
  <c r="G309" i="1" s="1"/>
  <c r="F309" i="2"/>
  <c r="G309" i="2" s="1"/>
  <c r="E310" i="2"/>
  <c r="F310" i="3"/>
  <c r="G310" i="3" s="1"/>
  <c r="E311" i="3"/>
  <c r="E311" i="4" l="1"/>
  <c r="F310" i="4"/>
  <c r="G310" i="4" s="1"/>
  <c r="F310" i="1"/>
  <c r="G310" i="1" s="1"/>
  <c r="E311" i="1"/>
  <c r="F310" i="2"/>
  <c r="G310" i="2" s="1"/>
  <c r="E311" i="2"/>
  <c r="F311" i="3"/>
  <c r="G311" i="3" s="1"/>
  <c r="E312" i="3"/>
  <c r="E312" i="4" l="1"/>
  <c r="F311" i="4"/>
  <c r="G311" i="4" s="1"/>
  <c r="E312" i="1"/>
  <c r="F311" i="1"/>
  <c r="G311" i="1" s="1"/>
  <c r="E312" i="2"/>
  <c r="F311" i="2"/>
  <c r="G311" i="2" s="1"/>
  <c r="E313" i="3"/>
  <c r="F312" i="3"/>
  <c r="G312" i="3" s="1"/>
  <c r="F312" i="4" l="1"/>
  <c r="G312" i="4" s="1"/>
  <c r="E313" i="4"/>
  <c r="E313" i="1"/>
  <c r="F312" i="1"/>
  <c r="G312" i="1" s="1"/>
  <c r="E313" i="2"/>
  <c r="F312" i="2"/>
  <c r="G312" i="2" s="1"/>
  <c r="F313" i="3"/>
  <c r="G313" i="3" s="1"/>
  <c r="E314" i="3"/>
  <c r="F313" i="4" l="1"/>
  <c r="G313" i="4" s="1"/>
  <c r="E314" i="4"/>
  <c r="E314" i="1"/>
  <c r="F313" i="1"/>
  <c r="G313" i="1" s="1"/>
  <c r="E314" i="2"/>
  <c r="F313" i="2"/>
  <c r="G313" i="2" s="1"/>
  <c r="F314" i="3"/>
  <c r="G314" i="3" s="1"/>
  <c r="E315" i="3"/>
  <c r="E315" i="4" l="1"/>
  <c r="F314" i="4"/>
  <c r="G314" i="4" s="1"/>
  <c r="F314" i="1"/>
  <c r="G314" i="1" s="1"/>
  <c r="E315" i="1"/>
  <c r="F314" i="2"/>
  <c r="G314" i="2" s="1"/>
  <c r="E315" i="2"/>
  <c r="F315" i="3"/>
  <c r="G315" i="3" s="1"/>
  <c r="E316" i="3"/>
  <c r="E316" i="4" l="1"/>
  <c r="F315" i="4"/>
  <c r="G315" i="4" s="1"/>
  <c r="F315" i="1"/>
  <c r="G315" i="1" s="1"/>
  <c r="E316" i="1"/>
  <c r="F315" i="2"/>
  <c r="G315" i="2" s="1"/>
  <c r="E316" i="2"/>
  <c r="F316" i="3"/>
  <c r="G316" i="3" s="1"/>
  <c r="E317" i="3"/>
  <c r="F316" i="4" l="1"/>
  <c r="G316" i="4" s="1"/>
  <c r="E317" i="4"/>
  <c r="F316" i="1"/>
  <c r="G316" i="1" s="1"/>
  <c r="E317" i="1"/>
  <c r="F316" i="2"/>
  <c r="G316" i="2" s="1"/>
  <c r="E317" i="2"/>
  <c r="F317" i="3"/>
  <c r="G317" i="3" s="1"/>
  <c r="E318" i="3"/>
  <c r="E318" i="4" l="1"/>
  <c r="F317" i="4"/>
  <c r="G317" i="4" s="1"/>
  <c r="F317" i="1"/>
  <c r="G317" i="1" s="1"/>
  <c r="E318" i="1"/>
  <c r="F317" i="2"/>
  <c r="G317" i="2" s="1"/>
  <c r="E318" i="2"/>
  <c r="F318" i="3"/>
  <c r="G318" i="3" s="1"/>
  <c r="E319" i="3"/>
  <c r="F318" i="4" l="1"/>
  <c r="G318" i="4" s="1"/>
  <c r="E319" i="4"/>
  <c r="E319" i="1"/>
  <c r="F318" i="1"/>
  <c r="G318" i="1" s="1"/>
  <c r="E319" i="2"/>
  <c r="F318" i="2"/>
  <c r="G318" i="2" s="1"/>
  <c r="F319" i="3"/>
  <c r="G319" i="3" s="1"/>
  <c r="E320" i="3"/>
  <c r="E320" i="4" l="1"/>
  <c r="F319" i="4"/>
  <c r="G319" i="4" s="1"/>
  <c r="F319" i="1"/>
  <c r="G319" i="1" s="1"/>
  <c r="E320" i="1"/>
  <c r="E320" i="2"/>
  <c r="F319" i="2"/>
  <c r="G319" i="2" s="1"/>
  <c r="F320" i="3"/>
  <c r="G320" i="3" s="1"/>
  <c r="E321" i="3"/>
  <c r="F320" i="4" l="1"/>
  <c r="G320" i="4" s="1"/>
  <c r="E321" i="4"/>
  <c r="E321" i="1"/>
  <c r="F320" i="1"/>
  <c r="G320" i="1" s="1"/>
  <c r="F320" i="2"/>
  <c r="G320" i="2" s="1"/>
  <c r="E321" i="2"/>
  <c r="F321" i="3"/>
  <c r="G321" i="3" s="1"/>
  <c r="E322" i="3"/>
  <c r="E322" i="4" l="1"/>
  <c r="F321" i="4"/>
  <c r="G321" i="4" s="1"/>
  <c r="F321" i="1"/>
  <c r="G321" i="1" s="1"/>
  <c r="E322" i="1"/>
  <c r="E322" i="2"/>
  <c r="F321" i="2"/>
  <c r="G321" i="2" s="1"/>
  <c r="F322" i="3"/>
  <c r="G322" i="3" s="1"/>
  <c r="E323" i="3"/>
  <c r="E323" i="4" l="1"/>
  <c r="F322" i="4"/>
  <c r="G322" i="4" s="1"/>
  <c r="E323" i="1"/>
  <c r="F322" i="1"/>
  <c r="G322" i="1" s="1"/>
  <c r="E323" i="2"/>
  <c r="F322" i="2"/>
  <c r="G322" i="2" s="1"/>
  <c r="F323" i="3"/>
  <c r="G323" i="3" s="1"/>
  <c r="E324" i="3"/>
  <c r="E324" i="4" l="1"/>
  <c r="F323" i="4"/>
  <c r="G323" i="4" s="1"/>
  <c r="F323" i="1"/>
  <c r="G323" i="1" s="1"/>
  <c r="E324" i="1"/>
  <c r="F323" i="2"/>
  <c r="G323" i="2" s="1"/>
  <c r="E324" i="2"/>
  <c r="E325" i="3"/>
  <c r="F324" i="3"/>
  <c r="G324" i="3" s="1"/>
  <c r="F324" i="4" l="1"/>
  <c r="G324" i="4" s="1"/>
  <c r="E325" i="4"/>
  <c r="F324" i="1"/>
  <c r="G324" i="1" s="1"/>
  <c r="E325" i="1"/>
  <c r="F324" i="2"/>
  <c r="G324" i="2" s="1"/>
  <c r="E325" i="2"/>
  <c r="F325" i="3"/>
  <c r="G325" i="3" s="1"/>
  <c r="E326" i="3"/>
  <c r="E326" i="4" l="1"/>
  <c r="F325" i="4"/>
  <c r="G325" i="4" s="1"/>
  <c r="F325" i="1"/>
  <c r="G325" i="1" s="1"/>
  <c r="E326" i="1"/>
  <c r="F325" i="2"/>
  <c r="G325" i="2" s="1"/>
  <c r="E326" i="2"/>
  <c r="F326" i="3"/>
  <c r="G326" i="3" s="1"/>
  <c r="E327" i="3"/>
  <c r="F326" i="4" l="1"/>
  <c r="G326" i="4" s="1"/>
  <c r="E327" i="4"/>
  <c r="E327" i="1"/>
  <c r="F326" i="1"/>
  <c r="G326" i="1" s="1"/>
  <c r="F326" i="2"/>
  <c r="G326" i="2" s="1"/>
  <c r="E327" i="2"/>
  <c r="F327" i="3"/>
  <c r="G327" i="3" s="1"/>
  <c r="E328" i="3"/>
  <c r="E328" i="4" l="1"/>
  <c r="F327" i="4"/>
  <c r="G327" i="4" s="1"/>
  <c r="F327" i="1"/>
  <c r="G327" i="1" s="1"/>
  <c r="E328" i="1"/>
  <c r="F327" i="2"/>
  <c r="G327" i="2" s="1"/>
  <c r="E328" i="2"/>
  <c r="F328" i="3"/>
  <c r="G328" i="3" s="1"/>
  <c r="E329" i="3"/>
  <c r="E329" i="4" l="1"/>
  <c r="F328" i="4"/>
  <c r="G328" i="4" s="1"/>
  <c r="F328" i="1"/>
  <c r="G328" i="1" s="1"/>
  <c r="E329" i="1"/>
  <c r="F328" i="2"/>
  <c r="G328" i="2" s="1"/>
  <c r="E329" i="2"/>
  <c r="F329" i="3"/>
  <c r="G329" i="3" s="1"/>
  <c r="E330" i="3"/>
  <c r="F329" i="4" l="1"/>
  <c r="G329" i="4" s="1"/>
  <c r="E330" i="4"/>
  <c r="E330" i="1"/>
  <c r="F329" i="1"/>
  <c r="G329" i="1" s="1"/>
  <c r="E330" i="2"/>
  <c r="F329" i="2"/>
  <c r="G329" i="2" s="1"/>
  <c r="F330" i="3"/>
  <c r="G330" i="3" s="1"/>
  <c r="E331" i="3"/>
  <c r="F330" i="4" l="1"/>
  <c r="G330" i="4" s="1"/>
  <c r="E331" i="4"/>
  <c r="E331" i="1"/>
  <c r="F330" i="1"/>
  <c r="G330" i="1" s="1"/>
  <c r="E331" i="2"/>
  <c r="F330" i="2"/>
  <c r="G330" i="2" s="1"/>
  <c r="F331" i="3"/>
  <c r="G331" i="3" s="1"/>
  <c r="E332" i="3"/>
  <c r="F331" i="4" l="1"/>
  <c r="G331" i="4" s="1"/>
  <c r="E332" i="4"/>
  <c r="F331" i="1"/>
  <c r="G331" i="1" s="1"/>
  <c r="E332" i="1"/>
  <c r="E332" i="2"/>
  <c r="F331" i="2"/>
  <c r="G331" i="2" s="1"/>
  <c r="F332" i="3"/>
  <c r="G332" i="3" s="1"/>
  <c r="E333" i="3"/>
  <c r="E333" i="4" l="1"/>
  <c r="F332" i="4"/>
  <c r="G332" i="4" s="1"/>
  <c r="E333" i="1"/>
  <c r="F332" i="1"/>
  <c r="G332" i="1" s="1"/>
  <c r="F332" i="2"/>
  <c r="G332" i="2" s="1"/>
  <c r="E333" i="2"/>
  <c r="F333" i="3"/>
  <c r="G333" i="3" s="1"/>
  <c r="E334" i="3"/>
  <c r="F333" i="4" l="1"/>
  <c r="G333" i="4" s="1"/>
  <c r="E334" i="4"/>
  <c r="F333" i="1"/>
  <c r="G333" i="1" s="1"/>
  <c r="E334" i="1"/>
  <c r="F333" i="2"/>
  <c r="G333" i="2" s="1"/>
  <c r="E334" i="2"/>
  <c r="F334" i="3"/>
  <c r="G334" i="3" s="1"/>
  <c r="E335" i="3"/>
  <c r="F334" i="4" l="1"/>
  <c r="G334" i="4" s="1"/>
  <c r="E335" i="4"/>
  <c r="F334" i="1"/>
  <c r="G334" i="1" s="1"/>
  <c r="E335" i="1"/>
  <c r="F334" i="2"/>
  <c r="G334" i="2" s="1"/>
  <c r="E335" i="2"/>
  <c r="F335" i="3"/>
  <c r="G335" i="3" s="1"/>
  <c r="E336" i="3"/>
  <c r="F335" i="4" l="1"/>
  <c r="G335" i="4" s="1"/>
  <c r="E336" i="4"/>
  <c r="F335" i="1"/>
  <c r="G335" i="1" s="1"/>
  <c r="E336" i="1"/>
  <c r="F335" i="2"/>
  <c r="G335" i="2" s="1"/>
  <c r="E336" i="2"/>
  <c r="F336" i="3"/>
  <c r="G336" i="3" s="1"/>
  <c r="E337" i="3"/>
  <c r="E337" i="4" l="1"/>
  <c r="F336" i="4"/>
  <c r="G336" i="4" s="1"/>
  <c r="F336" i="1"/>
  <c r="G336" i="1" s="1"/>
  <c r="E337" i="1"/>
  <c r="E337" i="2"/>
  <c r="F336" i="2"/>
  <c r="G336" i="2" s="1"/>
  <c r="E338" i="3"/>
  <c r="F337" i="3"/>
  <c r="G337" i="3" s="1"/>
  <c r="E338" i="4" l="1"/>
  <c r="F337" i="4"/>
  <c r="G337" i="4" s="1"/>
  <c r="E338" i="1"/>
  <c r="F337" i="1"/>
  <c r="G337" i="1" s="1"/>
  <c r="F337" i="2"/>
  <c r="G337" i="2" s="1"/>
  <c r="E338" i="2"/>
  <c r="F338" i="3"/>
  <c r="G338" i="3" s="1"/>
  <c r="E339" i="3"/>
  <c r="F338" i="4" l="1"/>
  <c r="G338" i="4" s="1"/>
  <c r="E339" i="4"/>
  <c r="F338" i="1"/>
  <c r="G338" i="1" s="1"/>
  <c r="E339" i="1"/>
  <c r="F338" i="2"/>
  <c r="G338" i="2" s="1"/>
  <c r="E339" i="2"/>
  <c r="F339" i="3"/>
  <c r="G339" i="3" s="1"/>
  <c r="E340" i="3"/>
  <c r="F339" i="4" l="1"/>
  <c r="G339" i="4" s="1"/>
  <c r="E340" i="4"/>
  <c r="E340" i="1"/>
  <c r="F339" i="1"/>
  <c r="G339" i="1" s="1"/>
  <c r="E340" i="2"/>
  <c r="F339" i="2"/>
  <c r="G339" i="2" s="1"/>
  <c r="F340" i="3"/>
  <c r="G340" i="3" s="1"/>
  <c r="E341" i="3"/>
  <c r="F340" i="4" l="1"/>
  <c r="G340" i="4" s="1"/>
  <c r="E341" i="4"/>
  <c r="F340" i="1"/>
  <c r="G340" i="1" s="1"/>
  <c r="E341" i="1"/>
  <c r="F340" i="2"/>
  <c r="G340" i="2" s="1"/>
  <c r="E341" i="2"/>
  <c r="F341" i="3"/>
  <c r="G341" i="3" s="1"/>
  <c r="E342" i="3"/>
  <c r="E342" i="4" l="1"/>
  <c r="F341" i="4"/>
  <c r="G341" i="4" s="1"/>
  <c r="F341" i="1"/>
  <c r="G341" i="1" s="1"/>
  <c r="E342" i="1"/>
  <c r="F341" i="2"/>
  <c r="G341" i="2" s="1"/>
  <c r="E342" i="2"/>
  <c r="F342" i="3"/>
  <c r="G342" i="3" s="1"/>
  <c r="E343" i="3"/>
  <c r="E343" i="4" l="1"/>
  <c r="F342" i="4"/>
  <c r="G342" i="4" s="1"/>
  <c r="F342" i="1"/>
  <c r="G342" i="1" s="1"/>
  <c r="E343" i="1"/>
  <c r="E343" i="2"/>
  <c r="F342" i="2"/>
  <c r="G342" i="2" s="1"/>
  <c r="F343" i="3"/>
  <c r="G343" i="3" s="1"/>
  <c r="E344" i="3"/>
  <c r="E344" i="4" l="1"/>
  <c r="F343" i="4"/>
  <c r="G343" i="4" s="1"/>
  <c r="F343" i="1"/>
  <c r="G343" i="1" s="1"/>
  <c r="E344" i="1"/>
  <c r="F343" i="2"/>
  <c r="G343" i="2" s="1"/>
  <c r="E344" i="2"/>
  <c r="F344" i="3"/>
  <c r="G344" i="3" s="1"/>
  <c r="E345" i="3"/>
  <c r="E345" i="4" l="1"/>
  <c r="F344" i="4"/>
  <c r="G344" i="4" s="1"/>
  <c r="F344" i="1"/>
  <c r="G344" i="1" s="1"/>
  <c r="E345" i="1"/>
  <c r="E345" i="2"/>
  <c r="F344" i="2"/>
  <c r="G344" i="2" s="1"/>
  <c r="F345" i="3"/>
  <c r="G345" i="3" s="1"/>
  <c r="E346" i="3"/>
  <c r="F345" i="4" l="1"/>
  <c r="G345" i="4" s="1"/>
  <c r="E346" i="4"/>
  <c r="F345" i="1"/>
  <c r="G345" i="1" s="1"/>
  <c r="E346" i="1"/>
  <c r="E346" i="2"/>
  <c r="F345" i="2"/>
  <c r="G345" i="2" s="1"/>
  <c r="F346" i="3"/>
  <c r="G346" i="3" s="1"/>
  <c r="E347" i="3"/>
  <c r="E347" i="4" l="1"/>
  <c r="F346" i="4"/>
  <c r="G346" i="4" s="1"/>
  <c r="F346" i="1"/>
  <c r="G346" i="1" s="1"/>
  <c r="E347" i="1"/>
  <c r="F346" i="2"/>
  <c r="G346" i="2" s="1"/>
  <c r="E347" i="2"/>
  <c r="F347" i="3"/>
  <c r="G347" i="3" s="1"/>
  <c r="E348" i="3"/>
  <c r="E348" i="4" l="1"/>
  <c r="F347" i="4"/>
  <c r="G347" i="4" s="1"/>
  <c r="F347" i="1"/>
  <c r="G347" i="1" s="1"/>
  <c r="E348" i="1"/>
  <c r="F347" i="2"/>
  <c r="G347" i="2" s="1"/>
  <c r="E348" i="2"/>
  <c r="F348" i="3"/>
  <c r="G348" i="3" s="1"/>
  <c r="E349" i="3"/>
  <c r="E349" i="4" l="1"/>
  <c r="F348" i="4"/>
  <c r="G348" i="4" s="1"/>
  <c r="E349" i="1"/>
  <c r="F348" i="1"/>
  <c r="G348" i="1" s="1"/>
  <c r="F348" i="2"/>
  <c r="G348" i="2" s="1"/>
  <c r="E349" i="2"/>
  <c r="F349" i="3"/>
  <c r="G349" i="3" s="1"/>
  <c r="E350" i="3"/>
  <c r="F349" i="4" l="1"/>
  <c r="G349" i="4" s="1"/>
  <c r="E350" i="4"/>
  <c r="E350" i="1"/>
  <c r="F349" i="1"/>
  <c r="G349" i="1" s="1"/>
  <c r="F349" i="2"/>
  <c r="G349" i="2" s="1"/>
  <c r="E350" i="2"/>
  <c r="F350" i="3"/>
  <c r="G350" i="3" s="1"/>
  <c r="E351" i="3"/>
  <c r="E351" i="4" l="1"/>
  <c r="F350" i="4"/>
  <c r="G350" i="4" s="1"/>
  <c r="F350" i="1"/>
  <c r="G350" i="1" s="1"/>
  <c r="E351" i="1"/>
  <c r="F350" i="2"/>
  <c r="G350" i="2" s="1"/>
  <c r="E351" i="2"/>
  <c r="F351" i="3"/>
  <c r="G351" i="3" s="1"/>
  <c r="E352" i="3"/>
  <c r="E352" i="4" l="1"/>
  <c r="F351" i="4"/>
  <c r="G351" i="4" s="1"/>
  <c r="F351" i="1"/>
  <c r="G351" i="1" s="1"/>
  <c r="E352" i="1"/>
  <c r="F351" i="2"/>
  <c r="G351" i="2" s="1"/>
  <c r="E352" i="2"/>
  <c r="F352" i="3"/>
  <c r="G352" i="3" s="1"/>
  <c r="E353" i="3"/>
  <c r="F352" i="4" l="1"/>
  <c r="G352" i="4" s="1"/>
  <c r="E353" i="4"/>
  <c r="F352" i="1"/>
  <c r="G352" i="1" s="1"/>
  <c r="E353" i="1"/>
  <c r="F352" i="2"/>
  <c r="G352" i="2" s="1"/>
  <c r="E353" i="2"/>
  <c r="F353" i="3"/>
  <c r="G353" i="3" s="1"/>
  <c r="E354" i="3"/>
  <c r="F353" i="4" l="1"/>
  <c r="G353" i="4" s="1"/>
  <c r="E354" i="4"/>
  <c r="F353" i="1"/>
  <c r="G353" i="1" s="1"/>
  <c r="E354" i="1"/>
  <c r="F353" i="2"/>
  <c r="G353" i="2" s="1"/>
  <c r="E354" i="2"/>
  <c r="F354" i="3"/>
  <c r="G354" i="3" s="1"/>
  <c r="E355" i="3"/>
  <c r="F354" i="4" l="1"/>
  <c r="G354" i="4" s="1"/>
  <c r="E355" i="4"/>
  <c r="E355" i="1"/>
  <c r="F354" i="1"/>
  <c r="G354" i="1" s="1"/>
  <c r="F354" i="2"/>
  <c r="G354" i="2" s="1"/>
  <c r="E355" i="2"/>
  <c r="E356" i="3"/>
  <c r="F355" i="3"/>
  <c r="G355" i="3" s="1"/>
  <c r="E356" i="4" l="1"/>
  <c r="F355" i="4"/>
  <c r="G355" i="4" s="1"/>
  <c r="E356" i="1"/>
  <c r="F355" i="1"/>
  <c r="G355" i="1" s="1"/>
  <c r="F355" i="2"/>
  <c r="G355" i="2" s="1"/>
  <c r="E356" i="2"/>
  <c r="E357" i="3"/>
  <c r="F356" i="3"/>
  <c r="G356" i="3" s="1"/>
  <c r="F356" i="4" l="1"/>
  <c r="G356" i="4" s="1"/>
  <c r="E357" i="4"/>
  <c r="E357" i="1"/>
  <c r="F356" i="1"/>
  <c r="G356" i="1" s="1"/>
  <c r="F356" i="2"/>
  <c r="G356" i="2" s="1"/>
  <c r="E357" i="2"/>
  <c r="F357" i="3"/>
  <c r="G357" i="3" s="1"/>
  <c r="E358" i="3"/>
  <c r="F357" i="4" l="1"/>
  <c r="G357" i="4" s="1"/>
  <c r="E358" i="4"/>
  <c r="E358" i="1"/>
  <c r="F357" i="1"/>
  <c r="G357" i="1" s="1"/>
  <c r="F357" i="2"/>
  <c r="G357" i="2" s="1"/>
  <c r="E358" i="2"/>
  <c r="F358" i="3"/>
  <c r="G358" i="3" s="1"/>
  <c r="E359" i="3"/>
  <c r="F358" i="4" l="1"/>
  <c r="G358" i="4" s="1"/>
  <c r="E359" i="4"/>
  <c r="F358" i="1"/>
  <c r="G358" i="1" s="1"/>
  <c r="E359" i="1"/>
  <c r="F358" i="2"/>
  <c r="G358" i="2" s="1"/>
  <c r="E359" i="2"/>
  <c r="F359" i="3"/>
  <c r="G359" i="3" s="1"/>
  <c r="E360" i="3"/>
  <c r="F359" i="4" l="1"/>
  <c r="G359" i="4" s="1"/>
  <c r="E360" i="4"/>
  <c r="E360" i="1"/>
  <c r="F359" i="1"/>
  <c r="G359" i="1" s="1"/>
  <c r="F359" i="2"/>
  <c r="G359" i="2" s="1"/>
  <c r="E360" i="2"/>
  <c r="F360" i="3"/>
  <c r="G360" i="3" s="1"/>
  <c r="E361" i="3"/>
  <c r="F360" i="4" l="1"/>
  <c r="G360" i="4" s="1"/>
  <c r="E361" i="4"/>
  <c r="F360" i="1"/>
  <c r="G360" i="1" s="1"/>
  <c r="E361" i="1"/>
  <c r="E361" i="2"/>
  <c r="F360" i="2"/>
  <c r="G360" i="2" s="1"/>
  <c r="F361" i="3"/>
  <c r="G361" i="3" s="1"/>
  <c r="E362" i="3"/>
  <c r="E362" i="4" l="1"/>
  <c r="F361" i="4"/>
  <c r="G361" i="4" s="1"/>
  <c r="E362" i="1"/>
  <c r="F361" i="1"/>
  <c r="G361" i="1" s="1"/>
  <c r="F361" i="2"/>
  <c r="G361" i="2" s="1"/>
  <c r="E362" i="2"/>
  <c r="F362" i="3"/>
  <c r="G362" i="3" s="1"/>
  <c r="E363" i="3"/>
  <c r="E363" i="4" l="1"/>
  <c r="F362" i="4"/>
  <c r="G362" i="4" s="1"/>
  <c r="E363" i="1"/>
  <c r="F362" i="1"/>
  <c r="G362" i="1" s="1"/>
  <c r="E363" i="2"/>
  <c r="F362" i="2"/>
  <c r="G362" i="2" s="1"/>
  <c r="F363" i="3"/>
  <c r="G363" i="3" s="1"/>
  <c r="E364" i="3"/>
  <c r="F363" i="4" l="1"/>
  <c r="G363" i="4" s="1"/>
  <c r="E364" i="4"/>
  <c r="E364" i="1"/>
  <c r="F363" i="1"/>
  <c r="G363" i="1" s="1"/>
  <c r="E364" i="2"/>
  <c r="F363" i="2"/>
  <c r="G363" i="2" s="1"/>
  <c r="E365" i="3"/>
  <c r="F364" i="3"/>
  <c r="G364" i="3" s="1"/>
  <c r="F364" i="4" l="1"/>
  <c r="G364" i="4" s="1"/>
  <c r="E365" i="4"/>
  <c r="F364" i="1"/>
  <c r="G364" i="1" s="1"/>
  <c r="E365" i="1"/>
  <c r="E365" i="2"/>
  <c r="F364" i="2"/>
  <c r="G364" i="2" s="1"/>
  <c r="F365" i="3"/>
  <c r="G365" i="3" s="1"/>
  <c r="E366" i="3"/>
  <c r="F365" i="4" l="1"/>
  <c r="G365" i="4" s="1"/>
  <c r="E366" i="4"/>
  <c r="F365" i="1"/>
  <c r="G365" i="1" s="1"/>
  <c r="E366" i="1"/>
  <c r="F365" i="2"/>
  <c r="G365" i="2" s="1"/>
  <c r="E366" i="2"/>
  <c r="F366" i="3"/>
  <c r="G366" i="3" s="1"/>
  <c r="E367" i="3"/>
  <c r="E367" i="4" l="1"/>
  <c r="F366" i="4"/>
  <c r="G366" i="4" s="1"/>
  <c r="F366" i="1"/>
  <c r="G366" i="1" s="1"/>
  <c r="E367" i="1"/>
  <c r="F366" i="2"/>
  <c r="G366" i="2" s="1"/>
  <c r="E367" i="2"/>
  <c r="E368" i="3"/>
  <c r="F367" i="3"/>
  <c r="G367" i="3" s="1"/>
  <c r="F367" i="4" l="1"/>
  <c r="G367" i="4" s="1"/>
  <c r="E368" i="4"/>
  <c r="F367" i="1"/>
  <c r="G367" i="1" s="1"/>
  <c r="E368" i="1"/>
  <c r="E368" i="2"/>
  <c r="F367" i="2"/>
  <c r="G367" i="2" s="1"/>
  <c r="E369" i="3"/>
  <c r="F368" i="3"/>
  <c r="G368" i="3" s="1"/>
  <c r="F368" i="4" l="1"/>
  <c r="G368" i="4" s="1"/>
  <c r="E369" i="4"/>
  <c r="F368" i="1"/>
  <c r="G368" i="1" s="1"/>
  <c r="E369" i="1"/>
  <c r="F368" i="2"/>
  <c r="G368" i="2" s="1"/>
  <c r="E369" i="2"/>
  <c r="F369" i="3"/>
  <c r="G369" i="3" s="1"/>
  <c r="E370" i="3"/>
  <c r="F369" i="4" l="1"/>
  <c r="G369" i="4" s="1"/>
  <c r="E370" i="4"/>
  <c r="F369" i="1"/>
  <c r="G369" i="1" s="1"/>
  <c r="E370" i="1"/>
  <c r="E370" i="2"/>
  <c r="F369" i="2"/>
  <c r="G369" i="2" s="1"/>
  <c r="F370" i="3"/>
  <c r="G370" i="3" s="1"/>
  <c r="E371" i="3"/>
  <c r="F370" i="4" l="1"/>
  <c r="G370" i="4" s="1"/>
  <c r="E371" i="4"/>
  <c r="E371" i="1"/>
  <c r="F370" i="1"/>
  <c r="G370" i="1" s="1"/>
  <c r="F370" i="2"/>
  <c r="G370" i="2" s="1"/>
  <c r="E371" i="2"/>
  <c r="F371" i="3"/>
  <c r="G371" i="3" s="1"/>
  <c r="E372" i="3"/>
  <c r="E372" i="4" l="1"/>
  <c r="F371" i="4"/>
  <c r="G371" i="4" s="1"/>
  <c r="F371" i="1"/>
  <c r="G371" i="1" s="1"/>
  <c r="E372" i="1"/>
  <c r="F371" i="2"/>
  <c r="G371" i="2" s="1"/>
  <c r="E372" i="2"/>
  <c r="F372" i="3"/>
  <c r="G372" i="3" s="1"/>
  <c r="E373" i="3"/>
  <c r="F372" i="4" l="1"/>
  <c r="G372" i="4" s="1"/>
  <c r="E373" i="4"/>
  <c r="E373" i="1"/>
  <c r="F372" i="1"/>
  <c r="G372" i="1" s="1"/>
  <c r="F372" i="2"/>
  <c r="G372" i="2" s="1"/>
  <c r="E373" i="2"/>
  <c r="F373" i="3"/>
  <c r="G373" i="3" s="1"/>
  <c r="E374" i="3"/>
  <c r="F373" i="4" l="1"/>
  <c r="G373" i="4" s="1"/>
  <c r="E374" i="4"/>
  <c r="E374" i="1"/>
  <c r="F373" i="1"/>
  <c r="G373" i="1" s="1"/>
  <c r="E374" i="2"/>
  <c r="F373" i="2"/>
  <c r="G373" i="2" s="1"/>
  <c r="E375" i="3"/>
  <c r="F374" i="3"/>
  <c r="G374" i="3" s="1"/>
  <c r="F374" i="4" l="1"/>
  <c r="G374" i="4" s="1"/>
  <c r="E375" i="4"/>
  <c r="E375" i="1"/>
  <c r="F374" i="1"/>
  <c r="G374" i="1" s="1"/>
  <c r="F374" i="2"/>
  <c r="G374" i="2" s="1"/>
  <c r="E375" i="2"/>
  <c r="F375" i="3"/>
  <c r="G375" i="3" s="1"/>
  <c r="E376" i="3"/>
  <c r="F375" i="4" l="1"/>
  <c r="G375" i="4" s="1"/>
  <c r="E376" i="4"/>
  <c r="E376" i="1"/>
  <c r="F375" i="1"/>
  <c r="G375" i="1" s="1"/>
  <c r="F375" i="2"/>
  <c r="G375" i="2" s="1"/>
  <c r="E376" i="2"/>
  <c r="F376" i="3"/>
  <c r="G376" i="3" s="1"/>
  <c r="E377" i="3"/>
  <c r="F376" i="4" l="1"/>
  <c r="G376" i="4" s="1"/>
  <c r="E377" i="4"/>
  <c r="E377" i="1"/>
  <c r="F376" i="1"/>
  <c r="G376" i="1" s="1"/>
  <c r="F376" i="2"/>
  <c r="G376" i="2" s="1"/>
  <c r="E377" i="2"/>
  <c r="F377" i="3"/>
  <c r="G377" i="3" s="1"/>
  <c r="E378" i="3"/>
  <c r="F377" i="4" l="1"/>
  <c r="G377" i="4" s="1"/>
  <c r="E378" i="4"/>
  <c r="F377" i="1"/>
  <c r="G377" i="1" s="1"/>
  <c r="E378" i="1"/>
  <c r="E378" i="2"/>
  <c r="F377" i="2"/>
  <c r="G377" i="2" s="1"/>
  <c r="F378" i="3"/>
  <c r="G378" i="3" s="1"/>
  <c r="E379" i="3"/>
  <c r="E379" i="4" l="1"/>
  <c r="F378" i="4"/>
  <c r="G378" i="4" s="1"/>
  <c r="E379" i="1"/>
  <c r="F378" i="1"/>
  <c r="G378" i="1" s="1"/>
  <c r="F378" i="2"/>
  <c r="G378" i="2" s="1"/>
  <c r="E379" i="2"/>
  <c r="F379" i="3"/>
  <c r="G379" i="3" s="1"/>
  <c r="E380" i="3"/>
  <c r="E380" i="4" l="1"/>
  <c r="F379" i="4"/>
  <c r="G379" i="4" s="1"/>
  <c r="E380" i="1"/>
  <c r="F379" i="1"/>
  <c r="G379" i="1" s="1"/>
  <c r="F379" i="2"/>
  <c r="G379" i="2" s="1"/>
  <c r="E380" i="2"/>
  <c r="F380" i="3"/>
  <c r="G380" i="3" s="1"/>
  <c r="E381" i="3"/>
  <c r="E381" i="4" l="1"/>
  <c r="F380" i="4"/>
  <c r="G380" i="4" s="1"/>
  <c r="F380" i="1"/>
  <c r="G380" i="1" s="1"/>
  <c r="E381" i="1"/>
  <c r="E381" i="2"/>
  <c r="F380" i="2"/>
  <c r="G380" i="2" s="1"/>
  <c r="F381" i="3"/>
  <c r="G381" i="3" s="1"/>
  <c r="E382" i="3"/>
  <c r="F381" i="4" l="1"/>
  <c r="G381" i="4" s="1"/>
  <c r="E382" i="4"/>
  <c r="E382" i="1"/>
  <c r="F381" i="1"/>
  <c r="G381" i="1" s="1"/>
  <c r="F381" i="2"/>
  <c r="G381" i="2" s="1"/>
  <c r="E382" i="2"/>
  <c r="F382" i="3"/>
  <c r="G382" i="3" s="1"/>
  <c r="E383" i="3"/>
  <c r="E383" i="4" l="1"/>
  <c r="F382" i="4"/>
  <c r="G382" i="4" s="1"/>
  <c r="E383" i="1"/>
  <c r="F382" i="1"/>
  <c r="G382" i="1" s="1"/>
  <c r="E383" i="2"/>
  <c r="F382" i="2"/>
  <c r="G382" i="2" s="1"/>
  <c r="F383" i="3"/>
  <c r="G383" i="3" s="1"/>
  <c r="E384" i="3"/>
  <c r="E384" i="4" l="1"/>
  <c r="F383" i="4"/>
  <c r="G383" i="4" s="1"/>
  <c r="E384" i="1"/>
  <c r="F383" i="1"/>
  <c r="G383" i="1" s="1"/>
  <c r="F383" i="2"/>
  <c r="G383" i="2" s="1"/>
  <c r="E384" i="2"/>
  <c r="F384" i="3"/>
  <c r="G384" i="3" s="1"/>
  <c r="E385" i="3"/>
  <c r="F384" i="4" l="1"/>
  <c r="G384" i="4" s="1"/>
  <c r="E385" i="4"/>
  <c r="E385" i="1"/>
  <c r="F384" i="1"/>
  <c r="G384" i="1" s="1"/>
  <c r="F384" i="2"/>
  <c r="G384" i="2" s="1"/>
  <c r="E385" i="2"/>
  <c r="F385" i="3"/>
  <c r="G385" i="3" s="1"/>
  <c r="E386" i="3"/>
  <c r="E386" i="4" l="1"/>
  <c r="F385" i="4"/>
  <c r="G385" i="4" s="1"/>
  <c r="E386" i="1"/>
  <c r="F385" i="1"/>
  <c r="G385" i="1" s="1"/>
  <c r="E386" i="2"/>
  <c r="F385" i="2"/>
  <c r="G385" i="2" s="1"/>
  <c r="F386" i="3"/>
  <c r="G386" i="3" s="1"/>
  <c r="E387" i="3"/>
  <c r="F386" i="4" l="1"/>
  <c r="G386" i="4" s="1"/>
  <c r="E387" i="4"/>
  <c r="E387" i="1"/>
  <c r="F386" i="1"/>
  <c r="G386" i="1" s="1"/>
  <c r="F386" i="2"/>
  <c r="G386" i="2" s="1"/>
  <c r="E387" i="2"/>
  <c r="F387" i="3"/>
  <c r="G387" i="3" s="1"/>
  <c r="E388" i="3"/>
  <c r="E388" i="4" l="1"/>
  <c r="F387" i="4"/>
  <c r="G387" i="4" s="1"/>
  <c r="E388" i="1"/>
  <c r="F387" i="1"/>
  <c r="G387" i="1" s="1"/>
  <c r="F387" i="2"/>
  <c r="G387" i="2" s="1"/>
  <c r="E388" i="2"/>
  <c r="F388" i="3"/>
  <c r="G388" i="3" s="1"/>
  <c r="E389" i="3"/>
  <c r="E389" i="4" l="1"/>
  <c r="F388" i="4"/>
  <c r="G388" i="4" s="1"/>
  <c r="F388" i="1"/>
  <c r="G388" i="1" s="1"/>
  <c r="E389" i="1"/>
  <c r="E389" i="2"/>
  <c r="F388" i="2"/>
  <c r="G388" i="2" s="1"/>
  <c r="F389" i="3"/>
  <c r="G389" i="3" s="1"/>
  <c r="E390" i="3"/>
  <c r="F389" i="4" l="1"/>
  <c r="G389" i="4" s="1"/>
  <c r="E390" i="4"/>
  <c r="F389" i="1"/>
  <c r="G389" i="1" s="1"/>
  <c r="E390" i="1"/>
  <c r="E390" i="2"/>
  <c r="F389" i="2"/>
  <c r="G389" i="2" s="1"/>
  <c r="F390" i="3"/>
  <c r="G390" i="3" s="1"/>
  <c r="E391" i="3"/>
  <c r="E391" i="4" l="1"/>
  <c r="F390" i="4"/>
  <c r="G390" i="4" s="1"/>
  <c r="E391" i="1"/>
  <c r="F390" i="1"/>
  <c r="G390" i="1" s="1"/>
  <c r="F390" i="2"/>
  <c r="G390" i="2" s="1"/>
  <c r="E391" i="2"/>
  <c r="F391" i="3"/>
  <c r="G391" i="3" s="1"/>
  <c r="E392" i="3"/>
  <c r="F391" i="4" l="1"/>
  <c r="G391" i="4" s="1"/>
  <c r="E392" i="4"/>
  <c r="E392" i="1"/>
  <c r="F391" i="1"/>
  <c r="G391" i="1" s="1"/>
  <c r="F391" i="2"/>
  <c r="G391" i="2" s="1"/>
  <c r="E392" i="2"/>
  <c r="F392" i="3"/>
  <c r="G392" i="3" s="1"/>
  <c r="E393" i="3"/>
  <c r="E393" i="4" l="1"/>
  <c r="F392" i="4"/>
  <c r="G392" i="4" s="1"/>
  <c r="E393" i="1"/>
  <c r="F392" i="1"/>
  <c r="G392" i="1" s="1"/>
  <c r="F392" i="2"/>
  <c r="G392" i="2" s="1"/>
  <c r="E393" i="2"/>
  <c r="F393" i="3"/>
  <c r="G393" i="3" s="1"/>
  <c r="E394" i="3"/>
  <c r="F393" i="4" l="1"/>
  <c r="G393" i="4" s="1"/>
  <c r="E394" i="4"/>
  <c r="F393" i="1"/>
  <c r="G393" i="1" s="1"/>
  <c r="E394" i="1"/>
  <c r="F393" i="2"/>
  <c r="G393" i="2" s="1"/>
  <c r="E394" i="2"/>
  <c r="F394" i="3"/>
  <c r="G394" i="3" s="1"/>
  <c r="E395" i="3"/>
  <c r="F394" i="4" l="1"/>
  <c r="G394" i="4" s="1"/>
  <c r="E395" i="4"/>
  <c r="F394" i="1"/>
  <c r="G394" i="1" s="1"/>
  <c r="E395" i="1"/>
  <c r="E395" i="2"/>
  <c r="F394" i="2"/>
  <c r="G394" i="2" s="1"/>
  <c r="F395" i="3"/>
  <c r="G395" i="3" s="1"/>
  <c r="E396" i="3"/>
  <c r="F395" i="4" l="1"/>
  <c r="G395" i="4" s="1"/>
  <c r="E396" i="4"/>
  <c r="E396" i="1"/>
  <c r="F395" i="1"/>
  <c r="G395" i="1" s="1"/>
  <c r="F395" i="2"/>
  <c r="G395" i="2" s="1"/>
  <c r="E396" i="2"/>
  <c r="F396" i="3"/>
  <c r="G396" i="3" s="1"/>
  <c r="E397" i="3"/>
  <c r="F396" i="4" l="1"/>
  <c r="G396" i="4" s="1"/>
  <c r="E397" i="4"/>
  <c r="F396" i="1"/>
  <c r="G396" i="1" s="1"/>
  <c r="E397" i="1"/>
  <c r="F396" i="2"/>
  <c r="G396" i="2" s="1"/>
  <c r="E397" i="2"/>
  <c r="F397" i="3"/>
  <c r="G397" i="3" s="1"/>
  <c r="E398" i="3"/>
  <c r="E398" i="4" l="1"/>
  <c r="F397" i="4"/>
  <c r="G397" i="4" s="1"/>
  <c r="E398" i="1"/>
  <c r="F397" i="1"/>
  <c r="G397" i="1" s="1"/>
  <c r="E398" i="2"/>
  <c r="F397" i="2"/>
  <c r="G397" i="2" s="1"/>
  <c r="F398" i="3"/>
  <c r="G398" i="3" s="1"/>
  <c r="E399" i="3"/>
  <c r="E399" i="4" l="1"/>
  <c r="F398" i="4"/>
  <c r="G398" i="4" s="1"/>
  <c r="F398" i="1"/>
  <c r="G398" i="1" s="1"/>
  <c r="E399" i="1"/>
  <c r="E399" i="2"/>
  <c r="F398" i="2"/>
  <c r="G398" i="2" s="1"/>
  <c r="F399" i="3"/>
  <c r="G399" i="3" s="1"/>
  <c r="E400" i="3"/>
  <c r="E400" i="4" l="1"/>
  <c r="F399" i="4"/>
  <c r="G399" i="4" s="1"/>
  <c r="E400" i="1"/>
  <c r="F399" i="1"/>
  <c r="G399" i="1" s="1"/>
  <c r="F399" i="2"/>
  <c r="G399" i="2" s="1"/>
  <c r="E400" i="2"/>
  <c r="F400" i="3"/>
  <c r="G400" i="3" s="1"/>
  <c r="E401" i="3"/>
  <c r="E401" i="4" l="1"/>
  <c r="F400" i="4"/>
  <c r="G400" i="4" s="1"/>
  <c r="E401" i="1"/>
  <c r="F400" i="1"/>
  <c r="G400" i="1" s="1"/>
  <c r="E401" i="2"/>
  <c r="F400" i="2"/>
  <c r="G400" i="2" s="1"/>
  <c r="E402" i="3"/>
  <c r="F401" i="3"/>
  <c r="G401" i="3" s="1"/>
  <c r="E402" i="4" l="1"/>
  <c r="F401" i="4"/>
  <c r="G401" i="4" s="1"/>
  <c r="E402" i="1"/>
  <c r="F401" i="1"/>
  <c r="G401" i="1" s="1"/>
  <c r="F401" i="2"/>
  <c r="G401" i="2" s="1"/>
  <c r="E402" i="2"/>
  <c r="F402" i="3"/>
  <c r="G402" i="3" s="1"/>
  <c r="E403" i="3"/>
  <c r="E403" i="4" l="1"/>
  <c r="F402" i="4"/>
  <c r="G402" i="4" s="1"/>
  <c r="E403" i="1"/>
  <c r="F402" i="1"/>
  <c r="G402" i="1" s="1"/>
  <c r="F402" i="2"/>
  <c r="G402" i="2" s="1"/>
  <c r="E403" i="2"/>
  <c r="E404" i="3"/>
  <c r="F403" i="3"/>
  <c r="G403" i="3" s="1"/>
  <c r="E404" i="4" l="1"/>
  <c r="F403" i="4"/>
  <c r="G403" i="4" s="1"/>
  <c r="E404" i="1"/>
  <c r="F403" i="1"/>
  <c r="G403" i="1" s="1"/>
  <c r="E404" i="2"/>
  <c r="F403" i="2"/>
  <c r="G403" i="2" s="1"/>
  <c r="E405" i="3"/>
  <c r="F404" i="3"/>
  <c r="G404" i="3" s="1"/>
  <c r="E405" i="4" l="1"/>
  <c r="F404" i="4"/>
  <c r="G404" i="4" s="1"/>
  <c r="E405" i="1"/>
  <c r="F404" i="1"/>
  <c r="G404" i="1" s="1"/>
  <c r="F404" i="2"/>
  <c r="G404" i="2" s="1"/>
  <c r="E405" i="2"/>
  <c r="E406" i="3"/>
  <c r="F405" i="3"/>
  <c r="G405" i="3" s="1"/>
  <c r="F405" i="4" l="1"/>
  <c r="G405" i="4" s="1"/>
  <c r="E406" i="4"/>
  <c r="E406" i="1"/>
  <c r="F405" i="1"/>
  <c r="G405" i="1" s="1"/>
  <c r="F405" i="2"/>
  <c r="G405" i="2" s="1"/>
  <c r="E406" i="2"/>
  <c r="F406" i="3"/>
  <c r="G406" i="3" s="1"/>
  <c r="E407" i="3"/>
  <c r="E407" i="4" l="1"/>
  <c r="F406" i="4"/>
  <c r="G406" i="4" s="1"/>
  <c r="E407" i="1"/>
  <c r="F406" i="1"/>
  <c r="G406" i="1" s="1"/>
  <c r="E407" i="2"/>
  <c r="F406" i="2"/>
  <c r="G406" i="2" s="1"/>
  <c r="F407" i="3"/>
  <c r="G407" i="3" s="1"/>
  <c r="E408" i="3"/>
  <c r="E408" i="4" l="1"/>
  <c r="F407" i="4"/>
  <c r="G407" i="4" s="1"/>
  <c r="E408" i="1"/>
  <c r="F407" i="1"/>
  <c r="G407" i="1" s="1"/>
  <c r="F407" i="2"/>
  <c r="G407" i="2" s="1"/>
  <c r="E408" i="2"/>
  <c r="E409" i="3"/>
  <c r="F408" i="3"/>
  <c r="G408" i="3" s="1"/>
  <c r="E409" i="4" l="1"/>
  <c r="F408" i="4"/>
  <c r="G408" i="4" s="1"/>
  <c r="E409" i="1"/>
  <c r="F408" i="1"/>
  <c r="G408" i="1" s="1"/>
  <c r="E409" i="2"/>
  <c r="F408" i="2"/>
  <c r="G408" i="2" s="1"/>
  <c r="E410" i="3"/>
  <c r="F409" i="3"/>
  <c r="G409" i="3" s="1"/>
  <c r="E410" i="4" l="1"/>
  <c r="F409" i="4"/>
  <c r="G409" i="4" s="1"/>
  <c r="E410" i="1"/>
  <c r="F409" i="1"/>
  <c r="G409" i="1" s="1"/>
  <c r="E410" i="2"/>
  <c r="F409" i="2"/>
  <c r="G409" i="2" s="1"/>
  <c r="F410" i="3"/>
  <c r="G410" i="3" s="1"/>
  <c r="E411" i="3"/>
  <c r="F410" i="4" l="1"/>
  <c r="G410" i="4" s="1"/>
  <c r="E411" i="4"/>
  <c r="F410" i="1"/>
  <c r="G410" i="1" s="1"/>
  <c r="E411" i="1"/>
  <c r="F410" i="2"/>
  <c r="G410" i="2" s="1"/>
  <c r="E411" i="2"/>
  <c r="F411" i="3"/>
  <c r="G411" i="3" s="1"/>
  <c r="E412" i="3"/>
  <c r="F411" i="4" l="1"/>
  <c r="G411" i="4" s="1"/>
  <c r="E412" i="4"/>
  <c r="F411" i="1"/>
  <c r="G411" i="1" s="1"/>
  <c r="E412" i="1"/>
  <c r="E412" i="2"/>
  <c r="F411" i="2"/>
  <c r="G411" i="2" s="1"/>
  <c r="E413" i="3"/>
  <c r="F412" i="3"/>
  <c r="G412" i="3" s="1"/>
  <c r="E413" i="4" l="1"/>
  <c r="F412" i="4"/>
  <c r="G412" i="4" s="1"/>
  <c r="E413" i="1"/>
  <c r="F412" i="1"/>
  <c r="G412" i="1" s="1"/>
  <c r="E413" i="2"/>
  <c r="F412" i="2"/>
  <c r="G412" i="2" s="1"/>
  <c r="F413" i="3"/>
  <c r="G413" i="3" s="1"/>
  <c r="E414" i="3"/>
  <c r="F413" i="4" l="1"/>
  <c r="G413" i="4" s="1"/>
  <c r="E414" i="4"/>
  <c r="F413" i="1"/>
  <c r="G413" i="1" s="1"/>
  <c r="E414" i="1"/>
  <c r="E414" i="2"/>
  <c r="F413" i="2"/>
  <c r="G413" i="2" s="1"/>
  <c r="F414" i="3"/>
  <c r="G414" i="3" s="1"/>
  <c r="E415" i="3"/>
  <c r="F414" i="4" l="1"/>
  <c r="G414" i="4" s="1"/>
  <c r="E415" i="4"/>
  <c r="F414" i="1"/>
  <c r="G414" i="1" s="1"/>
  <c r="E415" i="1"/>
  <c r="E415" i="2"/>
  <c r="F414" i="2"/>
  <c r="G414" i="2" s="1"/>
  <c r="E416" i="3"/>
  <c r="F415" i="3"/>
  <c r="G415" i="3" s="1"/>
  <c r="F415" i="4" l="1"/>
  <c r="G415" i="4" s="1"/>
  <c r="E416" i="4"/>
  <c r="F415" i="1"/>
  <c r="G415" i="1" s="1"/>
  <c r="E416" i="1"/>
  <c r="E416" i="2"/>
  <c r="F415" i="2"/>
  <c r="G415" i="2" s="1"/>
  <c r="E417" i="3"/>
  <c r="F416" i="3"/>
  <c r="G416" i="3" s="1"/>
  <c r="E417" i="4" l="1"/>
  <c r="F416" i="4"/>
  <c r="G416" i="4" s="1"/>
  <c r="E417" i="1"/>
  <c r="F416" i="1"/>
  <c r="G416" i="1" s="1"/>
  <c r="F416" i="2"/>
  <c r="G416" i="2" s="1"/>
  <c r="E417" i="2"/>
  <c r="F417" i="3"/>
  <c r="G417" i="3" s="1"/>
  <c r="E418" i="3"/>
  <c r="F417" i="4" l="1"/>
  <c r="G417" i="4" s="1"/>
  <c r="E418" i="4"/>
  <c r="F417" i="1"/>
  <c r="G417" i="1" s="1"/>
  <c r="E418" i="1"/>
  <c r="E418" i="2"/>
  <c r="F417" i="2"/>
  <c r="G417" i="2" s="1"/>
  <c r="F418" i="3"/>
  <c r="G418" i="3" s="1"/>
  <c r="E419" i="3"/>
  <c r="F418" i="4" l="1"/>
  <c r="G418" i="4" s="1"/>
  <c r="E419" i="4"/>
  <c r="E419" i="1"/>
  <c r="F418" i="1"/>
  <c r="G418" i="1" s="1"/>
  <c r="E419" i="2"/>
  <c r="F418" i="2"/>
  <c r="G418" i="2" s="1"/>
  <c r="F419" i="3"/>
  <c r="G419" i="3" s="1"/>
  <c r="E420" i="3"/>
  <c r="E420" i="4" l="1"/>
  <c r="F419" i="4"/>
  <c r="G419" i="4" s="1"/>
  <c r="F419" i="1"/>
  <c r="G419" i="1" s="1"/>
  <c r="E420" i="1"/>
  <c r="E420" i="2"/>
  <c r="F419" i="2"/>
  <c r="G419" i="2" s="1"/>
  <c r="F420" i="3"/>
  <c r="G420" i="3" s="1"/>
  <c r="E421" i="3"/>
  <c r="E421" i="4" l="1"/>
  <c r="F420" i="4"/>
  <c r="G420" i="4" s="1"/>
  <c r="F420" i="1"/>
  <c r="G420" i="1" s="1"/>
  <c r="E421" i="1"/>
  <c r="F420" i="2"/>
  <c r="G420" i="2" s="1"/>
  <c r="E421" i="2"/>
  <c r="F421" i="3"/>
  <c r="G421" i="3" s="1"/>
  <c r="E422" i="3"/>
  <c r="F421" i="4" l="1"/>
  <c r="G421" i="4" s="1"/>
  <c r="E422" i="4"/>
  <c r="F421" i="1"/>
  <c r="G421" i="1" s="1"/>
  <c r="E422" i="1"/>
  <c r="E422" i="2"/>
  <c r="F421" i="2"/>
  <c r="G421" i="2" s="1"/>
  <c r="E423" i="3"/>
  <c r="F422" i="3"/>
  <c r="G422" i="3" s="1"/>
  <c r="E423" i="4" l="1"/>
  <c r="F422" i="4"/>
  <c r="G422" i="4" s="1"/>
  <c r="F422" i="1"/>
  <c r="G422" i="1" s="1"/>
  <c r="E423" i="1"/>
  <c r="E423" i="2"/>
  <c r="F422" i="2"/>
  <c r="G422" i="2" s="1"/>
  <c r="F423" i="3"/>
  <c r="G423" i="3" s="1"/>
  <c r="E424" i="3"/>
  <c r="F423" i="4" l="1"/>
  <c r="G423" i="4" s="1"/>
  <c r="E424" i="4"/>
  <c r="E424" i="1"/>
  <c r="F423" i="1"/>
  <c r="G423" i="1" s="1"/>
  <c r="E424" i="2"/>
  <c r="F423" i="2"/>
  <c r="G423" i="2" s="1"/>
  <c r="F424" i="3"/>
  <c r="G424" i="3" s="1"/>
  <c r="E425" i="3"/>
  <c r="F424" i="4" l="1"/>
  <c r="G424" i="4" s="1"/>
  <c r="E425" i="4"/>
  <c r="F424" i="1"/>
  <c r="G424" i="1" s="1"/>
  <c r="E425" i="1"/>
  <c r="F424" i="2"/>
  <c r="G424" i="2" s="1"/>
  <c r="E425" i="2"/>
  <c r="F425" i="3"/>
  <c r="G425" i="3" s="1"/>
  <c r="E426" i="3"/>
  <c r="E426" i="4" l="1"/>
  <c r="F425" i="4"/>
  <c r="G425" i="4" s="1"/>
  <c r="F425" i="1"/>
  <c r="G425" i="1" s="1"/>
  <c r="E426" i="1"/>
  <c r="E426" i="2"/>
  <c r="F425" i="2"/>
  <c r="G425" i="2" s="1"/>
  <c r="F426" i="3"/>
  <c r="G426" i="3" s="1"/>
  <c r="E427" i="3"/>
  <c r="E427" i="4" l="1"/>
  <c r="F426" i="4"/>
  <c r="G426" i="4" s="1"/>
  <c r="F426" i="1"/>
  <c r="G426" i="1" s="1"/>
  <c r="E427" i="1"/>
  <c r="F426" i="2"/>
  <c r="G426" i="2" s="1"/>
  <c r="E427" i="2"/>
  <c r="F427" i="3"/>
  <c r="G427" i="3" s="1"/>
  <c r="E428" i="3"/>
  <c r="F427" i="4" l="1"/>
  <c r="G427" i="4" s="1"/>
  <c r="E428" i="4"/>
  <c r="E428" i="1"/>
  <c r="F427" i="1"/>
  <c r="G427" i="1" s="1"/>
  <c r="E428" i="2"/>
  <c r="F427" i="2"/>
  <c r="G427" i="2" s="1"/>
  <c r="F428" i="3"/>
  <c r="G428" i="3" s="1"/>
  <c r="E429" i="3"/>
  <c r="F428" i="4" l="1"/>
  <c r="G428" i="4" s="1"/>
  <c r="E429" i="4"/>
  <c r="F428" i="1"/>
  <c r="G428" i="1" s="1"/>
  <c r="E429" i="1"/>
  <c r="E429" i="2"/>
  <c r="F428" i="2"/>
  <c r="G428" i="2" s="1"/>
  <c r="F429" i="3"/>
  <c r="G429" i="3" s="1"/>
  <c r="E430" i="3"/>
  <c r="E430" i="4" l="1"/>
  <c r="F429" i="4"/>
  <c r="G429" i="4" s="1"/>
  <c r="F429" i="1"/>
  <c r="G429" i="1" s="1"/>
  <c r="E430" i="1"/>
  <c r="F429" i="2"/>
  <c r="G429" i="2" s="1"/>
  <c r="E430" i="2"/>
  <c r="F430" i="3"/>
  <c r="G430" i="3" s="1"/>
  <c r="E431" i="3"/>
  <c r="F430" i="4" l="1"/>
  <c r="G430" i="4" s="1"/>
  <c r="E431" i="4"/>
  <c r="F430" i="1"/>
  <c r="G430" i="1" s="1"/>
  <c r="E431" i="1"/>
  <c r="E431" i="2"/>
  <c r="F430" i="2"/>
  <c r="G430" i="2" s="1"/>
  <c r="E432" i="3"/>
  <c r="F431" i="3"/>
  <c r="G431" i="3" s="1"/>
  <c r="E432" i="4" l="1"/>
  <c r="F431" i="4"/>
  <c r="G431" i="4" s="1"/>
  <c r="E432" i="1"/>
  <c r="F431" i="1"/>
  <c r="G431" i="1" s="1"/>
  <c r="F431" i="2"/>
  <c r="G431" i="2" s="1"/>
  <c r="E432" i="2"/>
  <c r="E433" i="3"/>
  <c r="F432" i="3"/>
  <c r="G432" i="3" s="1"/>
  <c r="E433" i="4" l="1"/>
  <c r="F432" i="4"/>
  <c r="G432" i="4" s="1"/>
  <c r="F432" i="1"/>
  <c r="G432" i="1" s="1"/>
  <c r="E433" i="1"/>
  <c r="E433" i="2"/>
  <c r="F432" i="2"/>
  <c r="G432" i="2" s="1"/>
  <c r="F433" i="3"/>
  <c r="G433" i="3" s="1"/>
  <c r="E434" i="3"/>
  <c r="F433" i="4" l="1"/>
  <c r="G433" i="4" s="1"/>
  <c r="E434" i="4"/>
  <c r="E434" i="1"/>
  <c r="F433" i="1"/>
  <c r="G433" i="1" s="1"/>
  <c r="E434" i="2"/>
  <c r="F433" i="2"/>
  <c r="G433" i="2" s="1"/>
  <c r="F434" i="3"/>
  <c r="G434" i="3" s="1"/>
  <c r="E435" i="3"/>
  <c r="F434" i="4" l="1"/>
  <c r="G434" i="4" s="1"/>
  <c r="E435" i="4"/>
  <c r="F434" i="1"/>
  <c r="G434" i="1" s="1"/>
  <c r="E435" i="1"/>
  <c r="E435" i="2"/>
  <c r="F434" i="2"/>
  <c r="G434" i="2" s="1"/>
  <c r="F435" i="3"/>
  <c r="G435" i="3" s="1"/>
  <c r="E436" i="3"/>
  <c r="E436" i="4" l="1"/>
  <c r="F435" i="4"/>
  <c r="G435" i="4" s="1"/>
  <c r="F435" i="1"/>
  <c r="G435" i="1" s="1"/>
  <c r="E436" i="1"/>
  <c r="E436" i="2"/>
  <c r="F435" i="2"/>
  <c r="G435" i="2" s="1"/>
  <c r="F436" i="3"/>
  <c r="G436" i="3" s="1"/>
  <c r="E437" i="3"/>
  <c r="F436" i="4" l="1"/>
  <c r="G436" i="4" s="1"/>
  <c r="E437" i="4"/>
  <c r="F436" i="1"/>
  <c r="G436" i="1" s="1"/>
  <c r="E437" i="1"/>
  <c r="E437" i="2"/>
  <c r="F436" i="2"/>
  <c r="G436" i="2" s="1"/>
  <c r="E438" i="3"/>
  <c r="F437" i="3"/>
  <c r="G437" i="3" s="1"/>
  <c r="E438" i="4" l="1"/>
  <c r="F437" i="4"/>
  <c r="G437" i="4" s="1"/>
  <c r="F437" i="1"/>
  <c r="G437" i="1" s="1"/>
  <c r="E438" i="1"/>
  <c r="E438" i="2"/>
  <c r="F437" i="2"/>
  <c r="G437" i="2" s="1"/>
  <c r="F438" i="3"/>
  <c r="G438" i="3" s="1"/>
  <c r="E439" i="3"/>
  <c r="F438" i="4" l="1"/>
  <c r="G438" i="4" s="1"/>
  <c r="E439" i="4"/>
  <c r="E439" i="1"/>
  <c r="F438" i="1"/>
  <c r="G438" i="1" s="1"/>
  <c r="E439" i="2"/>
  <c r="F438" i="2"/>
  <c r="G438" i="2" s="1"/>
  <c r="F439" i="3"/>
  <c r="G439" i="3" s="1"/>
  <c r="E440" i="3"/>
  <c r="E440" i="4" l="1"/>
  <c r="F439" i="4"/>
  <c r="G439" i="4" s="1"/>
  <c r="E440" i="1"/>
  <c r="F439" i="1"/>
  <c r="G439" i="1" s="1"/>
  <c r="F439" i="2"/>
  <c r="G439" i="2" s="1"/>
  <c r="E440" i="2"/>
  <c r="F440" i="3"/>
  <c r="G440" i="3" s="1"/>
  <c r="E441" i="3"/>
  <c r="E441" i="4" l="1"/>
  <c r="F440" i="4"/>
  <c r="G440" i="4" s="1"/>
  <c r="E441" i="1"/>
  <c r="F440" i="1"/>
  <c r="G440" i="1" s="1"/>
  <c r="E441" i="2"/>
  <c r="F440" i="2"/>
  <c r="G440" i="2" s="1"/>
  <c r="E442" i="3"/>
  <c r="F441" i="3"/>
  <c r="G441" i="3" s="1"/>
  <c r="F441" i="4" l="1"/>
  <c r="G441" i="4" s="1"/>
  <c r="E442" i="4"/>
  <c r="F441" i="1"/>
  <c r="G441" i="1" s="1"/>
  <c r="E442" i="1"/>
  <c r="F441" i="2"/>
  <c r="G441" i="2" s="1"/>
  <c r="E442" i="2"/>
  <c r="F442" i="3"/>
  <c r="G442" i="3" s="1"/>
  <c r="E443" i="3"/>
  <c r="E443" i="4" l="1"/>
  <c r="F442" i="4"/>
  <c r="G442" i="4" s="1"/>
  <c r="F442" i="1"/>
  <c r="G442" i="1" s="1"/>
  <c r="E443" i="1"/>
  <c r="E443" i="2"/>
  <c r="F442" i="2"/>
  <c r="G442" i="2" s="1"/>
  <c r="E444" i="3"/>
  <c r="F443" i="3"/>
  <c r="G443" i="3" s="1"/>
  <c r="E444" i="4" l="1"/>
  <c r="F443" i="4"/>
  <c r="G443" i="4" s="1"/>
  <c r="E444" i="1"/>
  <c r="F443" i="1"/>
  <c r="G443" i="1" s="1"/>
  <c r="F443" i="2"/>
  <c r="G443" i="2" s="1"/>
  <c r="E444" i="2"/>
  <c r="F444" i="3"/>
  <c r="G444" i="3" s="1"/>
  <c r="E445" i="3"/>
  <c r="E445" i="4" l="1"/>
  <c r="F444" i="4"/>
  <c r="G444" i="4" s="1"/>
  <c r="F444" i="1"/>
  <c r="G444" i="1" s="1"/>
  <c r="E445" i="1"/>
  <c r="E445" i="2"/>
  <c r="F444" i="2"/>
  <c r="G444" i="2" s="1"/>
  <c r="E446" i="3"/>
  <c r="F445" i="3"/>
  <c r="G445" i="3" s="1"/>
  <c r="F445" i="4" l="1"/>
  <c r="G445" i="4" s="1"/>
  <c r="E446" i="4"/>
  <c r="E446" i="1"/>
  <c r="F445" i="1"/>
  <c r="G445" i="1" s="1"/>
  <c r="F445" i="2"/>
  <c r="G445" i="2" s="1"/>
  <c r="E446" i="2"/>
  <c r="F446" i="3"/>
  <c r="G446" i="3" s="1"/>
  <c r="E447" i="3"/>
  <c r="E447" i="4" l="1"/>
  <c r="F446" i="4"/>
  <c r="G446" i="4" s="1"/>
  <c r="F446" i="1"/>
  <c r="G446" i="1" s="1"/>
  <c r="E447" i="1"/>
  <c r="E447" i="2"/>
  <c r="F446" i="2"/>
  <c r="G446" i="2" s="1"/>
  <c r="E448" i="3"/>
  <c r="F447" i="3"/>
  <c r="G447" i="3" s="1"/>
  <c r="F447" i="4" l="1"/>
  <c r="G447" i="4" s="1"/>
  <c r="E448" i="4"/>
  <c r="F447" i="1"/>
  <c r="G447" i="1" s="1"/>
  <c r="E448" i="1"/>
  <c r="F447" i="2"/>
  <c r="G447" i="2" s="1"/>
  <c r="E448" i="2"/>
  <c r="E449" i="3"/>
  <c r="F448" i="3"/>
  <c r="G448" i="3" s="1"/>
  <c r="F448" i="4" l="1"/>
  <c r="G448" i="4" s="1"/>
  <c r="E449" i="4"/>
  <c r="F448" i="1"/>
  <c r="G448" i="1" s="1"/>
  <c r="E449" i="1"/>
  <c r="E449" i="2"/>
  <c r="F448" i="2"/>
  <c r="G448" i="2" s="1"/>
  <c r="F449" i="3"/>
  <c r="G449" i="3" s="1"/>
  <c r="E450" i="3"/>
  <c r="E450" i="4" l="1"/>
  <c r="F449" i="4"/>
  <c r="G449" i="4" s="1"/>
  <c r="F449" i="1"/>
  <c r="G449" i="1" s="1"/>
  <c r="E450" i="1"/>
  <c r="E450" i="2"/>
  <c r="F449" i="2"/>
  <c r="G449" i="2" s="1"/>
  <c r="F450" i="3"/>
  <c r="G450" i="3" s="1"/>
  <c r="E451" i="3"/>
  <c r="F450" i="4" l="1"/>
  <c r="G450" i="4" s="1"/>
  <c r="E451" i="4"/>
  <c r="F450" i="1"/>
  <c r="G450" i="1" s="1"/>
  <c r="E451" i="1"/>
  <c r="E451" i="2"/>
  <c r="F450" i="2"/>
  <c r="G450" i="2" s="1"/>
  <c r="E452" i="3"/>
  <c r="F451" i="3"/>
  <c r="G451" i="3" s="1"/>
  <c r="E452" i="4" l="1"/>
  <c r="F451" i="4"/>
  <c r="G451" i="4" s="1"/>
  <c r="F451" i="1"/>
  <c r="G451" i="1" s="1"/>
  <c r="E452" i="1"/>
  <c r="F451" i="2"/>
  <c r="G451" i="2" s="1"/>
  <c r="E452" i="2"/>
  <c r="F452" i="3"/>
  <c r="G452" i="3" s="1"/>
  <c r="E453" i="3"/>
  <c r="E453" i="4" l="1"/>
  <c r="F452" i="4"/>
  <c r="G452" i="4" s="1"/>
  <c r="F452" i="1"/>
  <c r="G452" i="1" s="1"/>
  <c r="E453" i="1"/>
  <c r="E453" i="2"/>
  <c r="F452" i="2"/>
  <c r="G452" i="2" s="1"/>
  <c r="F453" i="3"/>
  <c r="G453" i="3" s="1"/>
  <c r="E454" i="3"/>
  <c r="F453" i="4" l="1"/>
  <c r="G453" i="4" s="1"/>
  <c r="E454" i="4"/>
  <c r="F453" i="1"/>
  <c r="G453" i="1" s="1"/>
  <c r="E454" i="1"/>
  <c r="F453" i="2"/>
  <c r="G453" i="2" s="1"/>
  <c r="E454" i="2"/>
  <c r="F454" i="3"/>
  <c r="G454" i="3" s="1"/>
  <c r="E455" i="3"/>
  <c r="F454" i="4" l="1"/>
  <c r="G454" i="4" s="1"/>
  <c r="E455" i="4"/>
  <c r="F454" i="1"/>
  <c r="G454" i="1" s="1"/>
  <c r="E455" i="1"/>
  <c r="E455" i="2"/>
  <c r="F454" i="2"/>
  <c r="G454" i="2" s="1"/>
  <c r="E456" i="3"/>
  <c r="F455" i="3"/>
  <c r="G455" i="3" s="1"/>
  <c r="F455" i="4" l="1"/>
  <c r="G455" i="4" s="1"/>
  <c r="E456" i="4"/>
  <c r="E456" i="1"/>
  <c r="F455" i="1"/>
  <c r="G455" i="1" s="1"/>
  <c r="E456" i="2"/>
  <c r="F455" i="2"/>
  <c r="G455" i="2" s="1"/>
  <c r="E457" i="3"/>
  <c r="F456" i="3"/>
  <c r="G456" i="3" s="1"/>
  <c r="F456" i="4" l="1"/>
  <c r="G456" i="4" s="1"/>
  <c r="E457" i="4"/>
  <c r="F456" i="1"/>
  <c r="G456" i="1" s="1"/>
  <c r="E457" i="1"/>
  <c r="E457" i="2"/>
  <c r="F456" i="2"/>
  <c r="G456" i="2" s="1"/>
  <c r="E458" i="3"/>
  <c r="F457" i="3"/>
  <c r="G457" i="3" s="1"/>
  <c r="E458" i="4" l="1"/>
  <c r="F457" i="4"/>
  <c r="G457" i="4" s="1"/>
  <c r="F457" i="1"/>
  <c r="G457" i="1" s="1"/>
  <c r="E458" i="1"/>
  <c r="E458" i="2"/>
  <c r="F457" i="2"/>
  <c r="G457" i="2" s="1"/>
  <c r="F458" i="3"/>
  <c r="G458" i="3" s="1"/>
  <c r="E459" i="3"/>
  <c r="F458" i="4" l="1"/>
  <c r="G458" i="4" s="1"/>
  <c r="E459" i="4"/>
  <c r="F458" i="1"/>
  <c r="G458" i="1" s="1"/>
  <c r="E459" i="1"/>
  <c r="E459" i="2"/>
  <c r="F458" i="2"/>
  <c r="G458" i="2" s="1"/>
  <c r="F459" i="3"/>
  <c r="G459" i="3" s="1"/>
  <c r="E460" i="3"/>
  <c r="F459" i="4" l="1"/>
  <c r="G459" i="4" s="1"/>
  <c r="E460" i="4"/>
  <c r="F459" i="1"/>
  <c r="G459" i="1" s="1"/>
  <c r="E460" i="1"/>
  <c r="F459" i="2"/>
  <c r="G459" i="2" s="1"/>
  <c r="E460" i="2"/>
  <c r="F460" i="3"/>
  <c r="G460" i="3" s="1"/>
  <c r="E461" i="3"/>
  <c r="E461" i="4" l="1"/>
  <c r="F460" i="4"/>
  <c r="G460" i="4" s="1"/>
  <c r="F460" i="1"/>
  <c r="G460" i="1" s="1"/>
  <c r="E461" i="1"/>
  <c r="E461" i="2"/>
  <c r="F460" i="2"/>
  <c r="G460" i="2" s="1"/>
  <c r="F461" i="3"/>
  <c r="G461" i="3" s="1"/>
  <c r="E462" i="3"/>
  <c r="E462" i="4" l="1"/>
  <c r="F461" i="4"/>
  <c r="G461" i="4" s="1"/>
  <c r="E462" i="1"/>
  <c r="F461" i="1"/>
  <c r="G461" i="1" s="1"/>
  <c r="F461" i="2"/>
  <c r="G461" i="2" s="1"/>
  <c r="E462" i="2"/>
  <c r="F462" i="3"/>
  <c r="G462" i="3" s="1"/>
  <c r="E463" i="3"/>
  <c r="E463" i="4" l="1"/>
  <c r="F462" i="4"/>
  <c r="G462" i="4" s="1"/>
  <c r="F462" i="1"/>
  <c r="G462" i="1" s="1"/>
  <c r="E463" i="1"/>
  <c r="E463" i="2"/>
  <c r="F462" i="2"/>
  <c r="G462" i="2" s="1"/>
  <c r="F463" i="3"/>
  <c r="G463" i="3" s="1"/>
  <c r="E464" i="3"/>
  <c r="E464" i="4" l="1"/>
  <c r="F463" i="4"/>
  <c r="G463" i="4" s="1"/>
  <c r="E464" i="1"/>
  <c r="F463" i="1"/>
  <c r="G463" i="1" s="1"/>
  <c r="E464" i="2"/>
  <c r="F463" i="2"/>
  <c r="G463" i="2" s="1"/>
  <c r="F464" i="3"/>
  <c r="G464" i="3" s="1"/>
  <c r="E465" i="3"/>
  <c r="E465" i="4" l="1"/>
  <c r="F464" i="4"/>
  <c r="G464" i="4" s="1"/>
  <c r="F464" i="1"/>
  <c r="G464" i="1" s="1"/>
  <c r="E465" i="1"/>
  <c r="E465" i="2"/>
  <c r="F464" i="2"/>
  <c r="G464" i="2" s="1"/>
  <c r="F465" i="3"/>
  <c r="G465" i="3" s="1"/>
  <c r="E466" i="3"/>
  <c r="E466" i="4" l="1"/>
  <c r="F465" i="4"/>
  <c r="G465" i="4" s="1"/>
  <c r="F465" i="1"/>
  <c r="G465" i="1" s="1"/>
  <c r="E466" i="1"/>
  <c r="F465" i="2"/>
  <c r="G465" i="2" s="1"/>
  <c r="E466" i="2"/>
  <c r="F466" i="3"/>
  <c r="G466" i="3" s="1"/>
  <c r="E467" i="3"/>
  <c r="F466" i="4" l="1"/>
  <c r="G466" i="4" s="1"/>
  <c r="E467" i="4"/>
  <c r="F466" i="1"/>
  <c r="G466" i="1" s="1"/>
  <c r="E467" i="1"/>
  <c r="E467" i="2"/>
  <c r="F466" i="2"/>
  <c r="G466" i="2" s="1"/>
  <c r="F467" i="3"/>
  <c r="G467" i="3" s="1"/>
  <c r="E468" i="3"/>
  <c r="E468" i="4" l="1"/>
  <c r="F467" i="4"/>
  <c r="G467" i="4" s="1"/>
  <c r="E468" i="1"/>
  <c r="F467" i="1"/>
  <c r="G467" i="1" s="1"/>
  <c r="F467" i="2"/>
  <c r="G467" i="2" s="1"/>
  <c r="E468" i="2"/>
  <c r="F468" i="3"/>
  <c r="G468" i="3" s="1"/>
  <c r="E469" i="3"/>
  <c r="F468" i="4" l="1"/>
  <c r="G468" i="4" s="1"/>
  <c r="E469" i="4"/>
  <c r="E469" i="1"/>
  <c r="F468" i="1"/>
  <c r="G468" i="1" s="1"/>
  <c r="F468" i="2"/>
  <c r="G468" i="2" s="1"/>
  <c r="E469" i="2"/>
  <c r="F469" i="3"/>
  <c r="G469" i="3" s="1"/>
  <c r="E470" i="3"/>
  <c r="F469" i="4" l="1"/>
  <c r="G469" i="4" s="1"/>
  <c r="E470" i="4"/>
  <c r="F469" i="1"/>
  <c r="G469" i="1" s="1"/>
  <c r="E470" i="1"/>
  <c r="F469" i="2"/>
  <c r="G469" i="2" s="1"/>
  <c r="E470" i="2"/>
  <c r="F470" i="3"/>
  <c r="G470" i="3" s="1"/>
  <c r="E471" i="3"/>
  <c r="F470" i="4" l="1"/>
  <c r="G470" i="4" s="1"/>
  <c r="E471" i="4"/>
  <c r="F470" i="1"/>
  <c r="G470" i="1" s="1"/>
  <c r="E471" i="1"/>
  <c r="E471" i="2"/>
  <c r="F470" i="2"/>
  <c r="G470" i="2" s="1"/>
  <c r="E472" i="3"/>
  <c r="F471" i="3"/>
  <c r="G471" i="3" s="1"/>
  <c r="E472" i="4" l="1"/>
  <c r="F471" i="4"/>
  <c r="G471" i="4" s="1"/>
  <c r="F471" i="1"/>
  <c r="G471" i="1" s="1"/>
  <c r="E472" i="1"/>
  <c r="E472" i="2"/>
  <c r="F471" i="2"/>
  <c r="G471" i="2" s="1"/>
  <c r="F472" i="3"/>
  <c r="G472" i="3" s="1"/>
  <c r="E473" i="3"/>
  <c r="F472" i="4" l="1"/>
  <c r="G472" i="4" s="1"/>
  <c r="E473" i="4"/>
  <c r="E473" i="1"/>
  <c r="F472" i="1"/>
  <c r="G472" i="1" s="1"/>
  <c r="E473" i="2"/>
  <c r="F472" i="2"/>
  <c r="G472" i="2" s="1"/>
  <c r="E474" i="3"/>
  <c r="F473" i="3"/>
  <c r="G473" i="3" s="1"/>
  <c r="E474" i="4" l="1"/>
  <c r="F473" i="4"/>
  <c r="G473" i="4" s="1"/>
  <c r="F473" i="1"/>
  <c r="G473" i="1" s="1"/>
  <c r="E474" i="1"/>
  <c r="F473" i="2"/>
  <c r="G473" i="2" s="1"/>
  <c r="E474" i="2"/>
  <c r="E475" i="3"/>
  <c r="F474" i="3"/>
  <c r="G474" i="3" s="1"/>
  <c r="F474" i="4" l="1"/>
  <c r="G474" i="4" s="1"/>
  <c r="E475" i="4"/>
  <c r="E475" i="1"/>
  <c r="F474" i="1"/>
  <c r="G474" i="1" s="1"/>
  <c r="F474" i="2"/>
  <c r="G474" i="2" s="1"/>
  <c r="E475" i="2"/>
  <c r="F475" i="3"/>
  <c r="G475" i="3" s="1"/>
  <c r="E476" i="3"/>
  <c r="F475" i="4" l="1"/>
  <c r="G475" i="4" s="1"/>
  <c r="E476" i="4"/>
  <c r="F475" i="1"/>
  <c r="G475" i="1" s="1"/>
  <c r="E476" i="1"/>
  <c r="E476" i="2"/>
  <c r="F475" i="2"/>
  <c r="G475" i="2" s="1"/>
  <c r="F476" i="3"/>
  <c r="G476" i="3" s="1"/>
  <c r="E477" i="3"/>
  <c r="F476" i="4" l="1"/>
  <c r="G476" i="4" s="1"/>
  <c r="E477" i="4"/>
  <c r="E477" i="1"/>
  <c r="F476" i="1"/>
  <c r="G476" i="1" s="1"/>
  <c r="E477" i="2"/>
  <c r="F476" i="2"/>
  <c r="G476" i="2" s="1"/>
  <c r="E478" i="3"/>
  <c r="F477" i="3"/>
  <c r="G477" i="3" s="1"/>
  <c r="E478" i="4" l="1"/>
  <c r="F477" i="4"/>
  <c r="G477" i="4" s="1"/>
  <c r="E478" i="1"/>
  <c r="F477" i="1"/>
  <c r="G477" i="1" s="1"/>
  <c r="E478" i="2"/>
  <c r="F477" i="2"/>
  <c r="G477" i="2" s="1"/>
  <c r="F478" i="3"/>
  <c r="G478" i="3" s="1"/>
  <c r="E479" i="3"/>
  <c r="F478" i="4" l="1"/>
  <c r="G478" i="4" s="1"/>
  <c r="E479" i="4"/>
  <c r="F478" i="1"/>
  <c r="G478" i="1" s="1"/>
  <c r="E479" i="1"/>
  <c r="E479" i="2"/>
  <c r="F478" i="2"/>
  <c r="G478" i="2" s="1"/>
  <c r="E480" i="3"/>
  <c r="F479" i="3"/>
  <c r="G479" i="3" s="1"/>
  <c r="F479" i="4" l="1"/>
  <c r="G479" i="4" s="1"/>
  <c r="E480" i="4"/>
  <c r="E480" i="1"/>
  <c r="F479" i="1"/>
  <c r="G479" i="1" s="1"/>
  <c r="E480" i="2"/>
  <c r="F479" i="2"/>
  <c r="G479" i="2" s="1"/>
  <c r="F480" i="3"/>
  <c r="G480" i="3" s="1"/>
  <c r="E481" i="3"/>
  <c r="F480" i="4" l="1"/>
  <c r="G480" i="4" s="1"/>
  <c r="E481" i="4"/>
  <c r="E481" i="1"/>
  <c r="F480" i="1"/>
  <c r="G480" i="1" s="1"/>
  <c r="E481" i="2"/>
  <c r="F480" i="2"/>
  <c r="G480" i="2" s="1"/>
  <c r="E482" i="3"/>
  <c r="F481" i="3"/>
  <c r="G481" i="3" s="1"/>
  <c r="F481" i="4" l="1"/>
  <c r="G481" i="4" s="1"/>
  <c r="E482" i="4"/>
  <c r="E482" i="1"/>
  <c r="F481" i="1"/>
  <c r="G481" i="1" s="1"/>
  <c r="E482" i="2"/>
  <c r="F481" i="2"/>
  <c r="G481" i="2" s="1"/>
  <c r="E483" i="3"/>
  <c r="F482" i="3"/>
  <c r="G482" i="3" s="1"/>
  <c r="F482" i="4" l="1"/>
  <c r="G482" i="4" s="1"/>
  <c r="E483" i="4"/>
  <c r="E483" i="1"/>
  <c r="F482" i="1"/>
  <c r="G482" i="1" s="1"/>
  <c r="F482" i="2"/>
  <c r="G482" i="2" s="1"/>
  <c r="E483" i="2"/>
  <c r="E484" i="3"/>
  <c r="F483" i="3"/>
  <c r="G483" i="3" s="1"/>
  <c r="F483" i="4" l="1"/>
  <c r="G483" i="4" s="1"/>
  <c r="E484" i="4"/>
  <c r="F483" i="1"/>
  <c r="G483" i="1" s="1"/>
  <c r="E484" i="1"/>
  <c r="E484" i="2"/>
  <c r="F483" i="2"/>
  <c r="G483" i="2" s="1"/>
  <c r="E485" i="3"/>
  <c r="F484" i="3"/>
  <c r="G484" i="3" s="1"/>
  <c r="E485" i="4" l="1"/>
  <c r="F484" i="4"/>
  <c r="G484" i="4" s="1"/>
  <c r="E485" i="1"/>
  <c r="F484" i="1"/>
  <c r="G484" i="1" s="1"/>
  <c r="E485" i="2"/>
  <c r="F484" i="2"/>
  <c r="G484" i="2" s="1"/>
  <c r="F485" i="3"/>
  <c r="G485" i="3" s="1"/>
  <c r="E486" i="3"/>
  <c r="F485" i="4" l="1"/>
  <c r="G485" i="4" s="1"/>
  <c r="E486" i="4"/>
  <c r="E486" i="1"/>
  <c r="F485" i="1"/>
  <c r="G485" i="1" s="1"/>
  <c r="F485" i="2"/>
  <c r="G485" i="2" s="1"/>
  <c r="E486" i="2"/>
  <c r="F486" i="3"/>
  <c r="G486" i="3" s="1"/>
  <c r="E487" i="3"/>
  <c r="E487" i="4" l="1"/>
  <c r="F486" i="4"/>
  <c r="G486" i="4" s="1"/>
  <c r="F486" i="1"/>
  <c r="G486" i="1" s="1"/>
  <c r="E487" i="1"/>
  <c r="E487" i="2"/>
  <c r="F486" i="2"/>
  <c r="G486" i="2" s="1"/>
  <c r="E488" i="3"/>
  <c r="F487" i="3"/>
  <c r="G487" i="3" s="1"/>
  <c r="E488" i="4" l="1"/>
  <c r="F487" i="4"/>
  <c r="G487" i="4" s="1"/>
  <c r="E488" i="1"/>
  <c r="F487" i="1"/>
  <c r="G487" i="1" s="1"/>
  <c r="F487" i="2"/>
  <c r="G487" i="2" s="1"/>
  <c r="E488" i="2"/>
  <c r="F488" i="3"/>
  <c r="G488" i="3" s="1"/>
  <c r="E489" i="3"/>
  <c r="E489" i="4" l="1"/>
  <c r="F488" i="4"/>
  <c r="G488" i="4" s="1"/>
  <c r="F488" i="1"/>
  <c r="G488" i="1" s="1"/>
  <c r="E489" i="1"/>
  <c r="E489" i="2"/>
  <c r="F488" i="2"/>
  <c r="G488" i="2" s="1"/>
  <c r="E490" i="3"/>
  <c r="F489" i="3"/>
  <c r="G489" i="3" s="1"/>
  <c r="F489" i="4" l="1"/>
  <c r="G489" i="4" s="1"/>
  <c r="E490" i="4"/>
  <c r="E490" i="1"/>
  <c r="F489" i="1"/>
  <c r="G489" i="1" s="1"/>
  <c r="E490" i="2"/>
  <c r="F489" i="2"/>
  <c r="G489" i="2" s="1"/>
  <c r="F490" i="3"/>
  <c r="G490" i="3" s="1"/>
  <c r="E491" i="3"/>
  <c r="E491" i="4" l="1"/>
  <c r="F490" i="4"/>
  <c r="G490" i="4" s="1"/>
  <c r="F490" i="1"/>
  <c r="G490" i="1" s="1"/>
  <c r="E491" i="1"/>
  <c r="F490" i="2"/>
  <c r="G490" i="2" s="1"/>
  <c r="E491" i="2"/>
  <c r="F491" i="3"/>
  <c r="G491" i="3" s="1"/>
  <c r="E492" i="3"/>
  <c r="E492" i="4" l="1"/>
  <c r="F491" i="4"/>
  <c r="G491" i="4" s="1"/>
  <c r="E492" i="1"/>
  <c r="F491" i="1"/>
  <c r="G491" i="1" s="1"/>
  <c r="E492" i="2"/>
  <c r="F491" i="2"/>
  <c r="G491" i="2" s="1"/>
  <c r="F492" i="3"/>
  <c r="G492" i="3" s="1"/>
  <c r="E493" i="3"/>
  <c r="E493" i="4" l="1"/>
  <c r="F492" i="4"/>
  <c r="G492" i="4" s="1"/>
  <c r="F492" i="1"/>
  <c r="G492" i="1" s="1"/>
  <c r="E493" i="1"/>
  <c r="E493" i="2"/>
  <c r="F492" i="2"/>
  <c r="G492" i="2" s="1"/>
  <c r="F493" i="3"/>
  <c r="G493" i="3" s="1"/>
  <c r="E494" i="3"/>
  <c r="F493" i="4" l="1"/>
  <c r="G493" i="4" s="1"/>
  <c r="E494" i="4"/>
  <c r="F493" i="1"/>
  <c r="G493" i="1" s="1"/>
  <c r="E494" i="1"/>
  <c r="E494" i="2"/>
  <c r="F493" i="2"/>
  <c r="G493" i="2" s="1"/>
  <c r="F494" i="3"/>
  <c r="G494" i="3" s="1"/>
  <c r="E495" i="3"/>
  <c r="F494" i="4" l="1"/>
  <c r="G494" i="4" s="1"/>
  <c r="E495" i="4"/>
  <c r="E495" i="1"/>
  <c r="F494" i="1"/>
  <c r="G494" i="1" s="1"/>
  <c r="E495" i="2"/>
  <c r="F494" i="2"/>
  <c r="G494" i="2" s="1"/>
  <c r="F495" i="3"/>
  <c r="G495" i="3" s="1"/>
  <c r="E496" i="3"/>
  <c r="E496" i="4" l="1"/>
  <c r="F495" i="4"/>
  <c r="G495" i="4" s="1"/>
  <c r="E496" i="1"/>
  <c r="F495" i="1"/>
  <c r="G495" i="1" s="1"/>
  <c r="E496" i="2"/>
  <c r="F495" i="2"/>
  <c r="G495" i="2" s="1"/>
  <c r="E497" i="3"/>
  <c r="F496" i="3"/>
  <c r="G496" i="3" s="1"/>
  <c r="F496" i="4" l="1"/>
  <c r="G496" i="4" s="1"/>
  <c r="E497" i="4"/>
  <c r="F496" i="1"/>
  <c r="G496" i="1" s="1"/>
  <c r="E497" i="1"/>
  <c r="E497" i="2"/>
  <c r="F496" i="2"/>
  <c r="G496" i="2" s="1"/>
  <c r="F497" i="3"/>
  <c r="G497" i="3" s="1"/>
  <c r="E498" i="3"/>
  <c r="F497" i="4" l="1"/>
  <c r="G497" i="4" s="1"/>
  <c r="E498" i="4"/>
  <c r="F497" i="1"/>
  <c r="G497" i="1" s="1"/>
  <c r="E498" i="1"/>
  <c r="E498" i="2"/>
  <c r="F497" i="2"/>
  <c r="G497" i="2" s="1"/>
  <c r="F498" i="3"/>
  <c r="G498" i="3" s="1"/>
  <c r="E499" i="3"/>
  <c r="F499" i="3" s="1"/>
  <c r="E499" i="4" l="1"/>
  <c r="F499" i="4" s="1"/>
  <c r="F498" i="4"/>
  <c r="G498" i="4" s="1"/>
  <c r="F498" i="1"/>
  <c r="G498" i="1" s="1"/>
  <c r="E499" i="1"/>
  <c r="F499" i="1" s="1"/>
  <c r="E499" i="2"/>
  <c r="F499" i="2" s="1"/>
  <c r="F498" i="2"/>
  <c r="G498" i="2" s="1"/>
</calcChain>
</file>

<file path=xl/sharedStrings.xml><?xml version="1.0" encoding="utf-8"?>
<sst xmlns="http://schemas.openxmlformats.org/spreadsheetml/2006/main" count="49" uniqueCount="16">
  <si>
    <t>u</t>
  </si>
  <si>
    <t>c</t>
  </si>
  <si>
    <t>alfa</t>
  </si>
  <si>
    <t>beta</t>
  </si>
  <si>
    <t>lambda</t>
  </si>
  <si>
    <t>t</t>
  </si>
  <si>
    <t>N(t)</t>
  </si>
  <si>
    <t># reclamaciones</t>
  </si>
  <si>
    <t>Monto</t>
  </si>
  <si>
    <t>media</t>
  </si>
  <si>
    <t>desvest</t>
  </si>
  <si>
    <t>Minimo</t>
  </si>
  <si>
    <t>Maximo</t>
  </si>
  <si>
    <t>Lllegadas</t>
  </si>
  <si>
    <t>Tiempo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</si>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</sst>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8"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38100</xdr:rowOff>
        </xdr:from>
        <xdr:to>
          <xdr:col>12</xdr:col>
          <xdr:colOff>85725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114300</xdr:rowOff>
        </xdr:from>
        <xdr:to>
          <xdr:col>12</xdr:col>
          <xdr:colOff>352425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19050</xdr:rowOff>
        </xdr:from>
        <xdr:to>
          <xdr:col>12</xdr:col>
          <xdr:colOff>409575</xdr:colOff>
          <xdr:row>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28575</xdr:rowOff>
        </xdr:from>
        <xdr:to>
          <xdr:col>12</xdr:col>
          <xdr:colOff>752475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99"/>
  <sheetViews>
    <sheetView tabSelected="1" workbookViewId="0"/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2</v>
      </c>
      <c r="B1">
        <v>2</v>
      </c>
      <c r="C1" s="2" t="s">
        <v>13</v>
      </c>
      <c r="D1" s="2" t="s">
        <v>14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3</v>
      </c>
      <c r="B2">
        <v>0.5</v>
      </c>
      <c r="C2">
        <f ca="1">INT(D2)</f>
        <v>0</v>
      </c>
      <c r="D2">
        <f ca="1">_xll.RiskExpon(B3)</f>
        <v>3.8239783992114688E-2</v>
      </c>
      <c r="E2">
        <f>IF(B1="","",1)</f>
        <v>1</v>
      </c>
      <c r="F2">
        <f ca="1">IF(E2="","",_xll.RiskGamma($B$1,$B$2))</f>
        <v>5.2610941654644465</v>
      </c>
      <c r="G2">
        <f ca="1">IF(F2="","",$B$6+C2*$B$5-F2)</f>
        <v>-2.2610941654644465</v>
      </c>
    </row>
    <row r="3" spans="1:10" x14ac:dyDescent="0.25">
      <c r="A3" s="1" t="s">
        <v>4</v>
      </c>
      <c r="B3">
        <v>1</v>
      </c>
      <c r="C3">
        <f ca="1">IF(D3="","",INT(SUM($D$2:D3)))</f>
        <v>0</v>
      </c>
      <c r="D3">
        <f ca="1">IF(D2&gt;$B$4,"",D2+_xll.RiskExpon($B$3))</f>
        <v>0.43743937080808676</v>
      </c>
      <c r="E3">
        <f ca="1">IF(E2&lt;$B$7,E2+1,"")</f>
        <v>2</v>
      </c>
      <c r="F3">
        <f ca="1">IF(E3="","",_xll.RiskGamma($B$1,$B$2))</f>
        <v>0.78545071708621639</v>
      </c>
      <c r="G3">
        <f ca="1">IF(F3="","",$B$6+C3*$B$5-SUM($F$2:F3))</f>
        <v>-3.0465448825506627</v>
      </c>
    </row>
    <row r="4" spans="1:10" x14ac:dyDescent="0.25">
      <c r="A4" s="1" t="s">
        <v>5</v>
      </c>
      <c r="B4">
        <v>5.5</v>
      </c>
      <c r="C4">
        <f ca="1">IF(D4="","",INT(SUM($D$2:D4)))</f>
        <v>2</v>
      </c>
      <c r="D4">
        <f ca="1">IF(SUM($D$2:D3)&gt;$B$4,"",D3+_xll.RiskExpon($B$3))</f>
        <v>2.507176628230614</v>
      </c>
      <c r="E4">
        <f t="shared" ref="E4:E67" ca="1" si="0">IF(E3&lt;$B$7,E3+1,"")</f>
        <v>3</v>
      </c>
      <c r="F4">
        <f ca="1">IF(E4="","",_xll.RiskGamma($B$1,$B$2))</f>
        <v>0.63944076985048726</v>
      </c>
      <c r="G4">
        <f ca="1">IF(F4="","",$B$6+C4*$B$5-SUM($F$2:F4))</f>
        <v>0.31401434759885039</v>
      </c>
    </row>
    <row r="5" spans="1:10" x14ac:dyDescent="0.25">
      <c r="A5" s="1" t="s">
        <v>1</v>
      </c>
      <c r="B5">
        <v>2</v>
      </c>
      <c r="C5">
        <f ca="1">IF(D5="","",INT(SUM($D$2:D5)))</f>
        <v>8</v>
      </c>
      <c r="D5">
        <f ca="1">IF(SUM($D$2:D4)&gt;$B$4,"",D4+_xll.RiskExpon($B$3))</f>
        <v>5.6056713432288081</v>
      </c>
      <c r="E5">
        <f t="shared" ca="1" si="0"/>
        <v>4</v>
      </c>
      <c r="F5">
        <f ca="1">IF(E5="","",_xll.RiskGamma($B$1,$B$2))</f>
        <v>0.75494422316124998</v>
      </c>
      <c r="G5">
        <f ca="1">IF(F5="","",$B$6+C5*$B$5-SUM($F$2:F5))</f>
        <v>11.5590701244376</v>
      </c>
    </row>
    <row r="6" spans="1:10" x14ac:dyDescent="0.25">
      <c r="A6" s="1" t="s">
        <v>0</v>
      </c>
      <c r="B6">
        <v>3</v>
      </c>
      <c r="C6" t="str">
        <f ca="1">IF(D6="","",INT(SUM($D$2:D6)))</f>
        <v/>
      </c>
      <c r="D6" t="str">
        <f ca="1">IF(SUM($D$2:D5)&gt;$B$4,"",D5+_xll.RiskExpon($B$3))</f>
        <v/>
      </c>
      <c r="E6" t="str">
        <f t="shared" ca="1" si="0"/>
        <v/>
      </c>
      <c r="F6" t="str">
        <f ca="1">IF(E6="","",_xll.RiskGamma($B$1,$B$2))</f>
        <v/>
      </c>
      <c r="G6" t="str">
        <f ca="1">IF(F6="","",$B$6+C6*$B$5-SUM($F$2:F6))</f>
        <v/>
      </c>
    </row>
    <row r="7" spans="1:10" x14ac:dyDescent="0.25">
      <c r="A7" s="1" t="s">
        <v>6</v>
      </c>
      <c r="B7">
        <f ca="1">COUNT(C2:C101)</f>
        <v>4</v>
      </c>
      <c r="C7" t="str">
        <f ca="1">IF(D7="","",INT(SUM($D$2:D7)))</f>
        <v/>
      </c>
      <c r="D7" t="str">
        <f ca="1">IF(SUM($D$2:D6)&gt;$B$4,"",D6+_xll.RiskExpon($B$3))</f>
        <v/>
      </c>
      <c r="E7" t="str">
        <f t="shared" ca="1" si="0"/>
        <v/>
      </c>
      <c r="F7" t="str">
        <f ca="1">IF(E7="","",_xll.RiskGamma($B$1,$B$2))</f>
        <v/>
      </c>
      <c r="G7" t="str">
        <f ca="1">IF(F7="","",$B$6+C7*$B$5-SUM($F$2:F7))</f>
        <v/>
      </c>
    </row>
    <row r="8" spans="1:10" x14ac:dyDescent="0.25">
      <c r="C8" t="str">
        <f ca="1">IF(D8="","",INT(SUM($D$2:D8)))</f>
        <v/>
      </c>
      <c r="D8" t="str">
        <f ca="1">IF(SUM($D$2:D7)&gt;$B$4,"",D7+_xll.RiskExpon($B$3))</f>
        <v/>
      </c>
      <c r="E8" t="str">
        <f t="shared" ca="1" si="0"/>
        <v/>
      </c>
      <c r="F8" t="str">
        <f ca="1">IF(E8="","",_xll.RiskGamma($B$1,$B$2))</f>
        <v/>
      </c>
      <c r="G8" t="str">
        <f ca="1">IF(F8="","",$B$6+C8*$B$5-SUM($F$2:F8))</f>
        <v/>
      </c>
    </row>
    <row r="9" spans="1:10" x14ac:dyDescent="0.25">
      <c r="C9" t="str">
        <f ca="1">IF(D9="","",INT(SUM($D$2:D9)))</f>
        <v/>
      </c>
      <c r="D9" t="str">
        <f ca="1">IF(SUM($D$2:D8)&gt;$B$4,"",D8+_xll.RiskExpon($B$3))</f>
        <v/>
      </c>
      <c r="E9" t="str">
        <f t="shared" ca="1" si="0"/>
        <v/>
      </c>
      <c r="F9" t="str">
        <f ca="1">IF(E9="","",_xll.RiskGamma($B$1,$B$2))</f>
        <v/>
      </c>
      <c r="G9" t="str">
        <f ca="1">IF(F9="","",$B$6+C9*$B$5-SUM($F$2:F9))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IF(SUM($D$2:D9)&gt;$B$4,"",D9+_xll.RiskExpon($B$3))</f>
        <v/>
      </c>
      <c r="E10" t="str">
        <f t="shared" ca="1" si="0"/>
        <v/>
      </c>
      <c r="F10" t="str">
        <f ca="1">IF(E10="","",_xll.RiskGamma($B$1,$B$2))</f>
        <v/>
      </c>
      <c r="G10" t="str">
        <f ca="1">IF(F10="","",$B$6+C10*$B$5-SUM($F$2:F10))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IF(SUM($D$2:D10)&gt;$B$4,"",D10+_xll.RiskExpon($B$3))</f>
        <v/>
      </c>
      <c r="E11" t="str">
        <f t="shared" ca="1" si="0"/>
        <v/>
      </c>
      <c r="F11" t="str">
        <f ca="1">IF(E11="","",_xll.RiskGamma($B$1,$B$2))</f>
        <v/>
      </c>
      <c r="G11" t="str">
        <f ca="1">IF(F11="","",$B$6+C11*$B$5-SUM($F$2:F11))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IF(SUM($D$2:D11)&gt;$B$4,"",D11+_xll.RiskExpon($B$3))</f>
        <v/>
      </c>
      <c r="E12" t="str">
        <f t="shared" ca="1" si="0"/>
        <v/>
      </c>
      <c r="F12" t="str">
        <f ca="1">IF(E12="","",_xll.RiskGamma($B$1,$B$2))</f>
        <v/>
      </c>
      <c r="G12" t="str">
        <f ca="1">IF(F12="","",$B$6+C12*$B$5-SUM($F$2:F12))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IF(SUM($D$2:D12)&gt;$B$4,"",D12+_xll.RiskExpon($B$3))</f>
        <v/>
      </c>
      <c r="E13" t="str">
        <f t="shared" ca="1" si="0"/>
        <v/>
      </c>
      <c r="F13" t="str">
        <f ca="1">IF(E13="","",_xll.RiskGamma($B$1,$B$2))</f>
        <v/>
      </c>
      <c r="G13" t="str">
        <f ca="1">IF(F13="","",$B$6+C13*$B$5-SUM($F$2:F13))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IF(SUM($D$2:D13)&gt;$B$4,"",D13+_xll.RiskExpon($B$3))</f>
        <v/>
      </c>
      <c r="E14" t="str">
        <f t="shared" ca="1" si="0"/>
        <v/>
      </c>
      <c r="F14" t="str">
        <f ca="1">IF(E14="","",_xll.RiskGamma($B$1,$B$2))</f>
        <v/>
      </c>
      <c r="G14" t="str">
        <f ca="1">IF(F14="","",$B$6+C14*$B$5-SUM($F$2:F14))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IF(SUM($D$2:D14)&gt;$B$4,"",D14+_xll.RiskExpon($B$3))</f>
        <v/>
      </c>
      <c r="E15" t="str">
        <f t="shared" ca="1" si="0"/>
        <v/>
      </c>
      <c r="F15" t="str">
        <f ca="1">IF(E15="","",_xll.RiskGamma($B$1,$B$2))</f>
        <v/>
      </c>
      <c r="G15" t="str">
        <f ca="1">IF(F15="","",$B$6+C15*$B$5-SUM($F$2:F15))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IF(SUM($D$2:D15)&gt;$B$4,"",D15+_xll.RiskExpon($B$3))</f>
        <v/>
      </c>
      <c r="E16" t="str">
        <f t="shared" ca="1" si="0"/>
        <v/>
      </c>
      <c r="F16" t="str">
        <f ca="1">IF(E16="","",_xll.RiskGamma($B$1,$B$2))</f>
        <v/>
      </c>
      <c r="G16" t="str">
        <f ca="1">IF(F16="","",$B$6+C16*$B$5-SUM($F$2:F16))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IF(SUM($D$2:D16)&gt;$B$4,"",D16+_xll.RiskExpon($B$3))</f>
        <v/>
      </c>
      <c r="E17" t="str">
        <f t="shared" ca="1" si="0"/>
        <v/>
      </c>
      <c r="F17" t="str">
        <f ca="1">IF(E17="","",_xll.RiskGamma($B$1,$B$2))</f>
        <v/>
      </c>
      <c r="G17" t="str">
        <f ca="1">IF(F17="","",$B$6+C17*$B$5-SUM($F$2:F17))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IF(SUM($D$2:D17)&gt;$B$4,"",D17+_xll.RiskExpon($B$3))</f>
        <v/>
      </c>
      <c r="E18" t="str">
        <f t="shared" ca="1" si="0"/>
        <v/>
      </c>
      <c r="F18" t="str">
        <f ca="1">IF(E18="","",_xll.RiskGamma($B$1,$B$2))</f>
        <v/>
      </c>
      <c r="G18" t="str">
        <f ca="1">IF(F18="","",$B$6+C18*$B$5-SUM($F$2:F18))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IF(SUM($D$2:D18)&gt;$B$4,"",D18+_xll.RiskExpon($B$3))</f>
        <v/>
      </c>
      <c r="E19" t="str">
        <f t="shared" ca="1" si="0"/>
        <v/>
      </c>
      <c r="F19" t="str">
        <f ca="1">IF(E19="","",_xll.RiskGamma($B$1,$B$2))</f>
        <v/>
      </c>
      <c r="G19" t="str">
        <f ca="1">IF(F19="","",$B$6+C19*$B$5-SUM($F$2:F19))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IF(SUM($D$2:D19)&gt;$B$4,"",D19+_xll.RiskExpon($B$3))</f>
        <v/>
      </c>
      <c r="E20" t="str">
        <f t="shared" ca="1" si="0"/>
        <v/>
      </c>
      <c r="F20" t="str">
        <f ca="1">IF(E20="","",_xll.RiskGamma($B$1,$B$2))</f>
        <v/>
      </c>
      <c r="G20" t="str">
        <f ca="1">IF(F20="","",$B$6+C20*$B$5-SUM($F$2:F20))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IF(SUM($D$2:D20)&gt;$B$4,"",D20+_xll.RiskExpon($B$3))</f>
        <v/>
      </c>
      <c r="E21" t="str">
        <f t="shared" ca="1" si="0"/>
        <v/>
      </c>
      <c r="F21" t="str">
        <f ca="1">IF(E21="","",_xll.RiskGamma($B$1,$B$2))</f>
        <v/>
      </c>
      <c r="G21" t="str">
        <f ca="1">IF(F21="","",$B$6+C21*$B$5-SUM($F$2:F21))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IF(SUM($D$2:D21)&gt;$B$4,"",D21+_xll.RiskExpon($B$3))</f>
        <v/>
      </c>
      <c r="E22" t="str">
        <f t="shared" ca="1" si="0"/>
        <v/>
      </c>
      <c r="F22" t="str">
        <f ca="1">IF(E22="","",_xll.RiskGamma($B$1,$B$2))</f>
        <v/>
      </c>
      <c r="G22" t="str">
        <f ca="1">IF(F22="","",$B$6+C22*$B$5-SUM($F$2:F22))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IF(SUM($D$2:D22)&gt;$B$4,"",D22+_xll.RiskExpon($B$3))</f>
        <v/>
      </c>
      <c r="E23" t="str">
        <f t="shared" ca="1" si="0"/>
        <v/>
      </c>
      <c r="F23" t="str">
        <f ca="1">IF(E23="","",_xll.RiskGamma($B$1,$B$2))</f>
        <v/>
      </c>
      <c r="G23" t="str">
        <f ca="1">IF(F23="","",$B$6+C23*$B$5-SUM($F$2:F23))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IF(SUM($D$2:D23)&gt;$B$4,"",D23+_xll.RiskExpon($B$3))</f>
        <v/>
      </c>
      <c r="E24" t="str">
        <f t="shared" ca="1" si="0"/>
        <v/>
      </c>
      <c r="F24" t="str">
        <f ca="1">IF(E24="","",_xll.RiskGamma($B$1,$B$2))</f>
        <v/>
      </c>
      <c r="G24" t="str">
        <f ca="1">IF(F24="","",$B$6+C24*$B$5-SUM($F$2:F24))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IF(SUM($D$2:D24)&gt;$B$4,"",D24+_xll.RiskExpon($B$3))</f>
        <v/>
      </c>
      <c r="E25" t="str">
        <f t="shared" ca="1" si="0"/>
        <v/>
      </c>
      <c r="F25" t="str">
        <f ca="1">IF(E25="","",_xll.RiskGamma($B$1,$B$2))</f>
        <v/>
      </c>
      <c r="G25" t="str">
        <f ca="1">IF(F25="","",$B$6+C25*$B$5-SUM($F$2:F25))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IF(SUM($D$2:D25)&gt;$B$4,"",D25+_xll.RiskExpon($B$3))</f>
        <v/>
      </c>
      <c r="E26" t="str">
        <f t="shared" ca="1" si="0"/>
        <v/>
      </c>
      <c r="F26" t="str">
        <f ca="1">IF(E26="","",_xll.RiskGamma($B$1,$B$2))</f>
        <v/>
      </c>
      <c r="G26" t="str">
        <f ca="1">IF(F26="","",$B$6+C26*$B$5-SUM($F$2:F26))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IF(SUM($D$2:D26)&gt;$B$4,"",D26+_xll.RiskExpon($B$3))</f>
        <v/>
      </c>
      <c r="E27" t="str">
        <f t="shared" ca="1" si="0"/>
        <v/>
      </c>
      <c r="F27" t="str">
        <f ca="1">IF(E27="","",_xll.RiskGamma($B$1,$B$2))</f>
        <v/>
      </c>
      <c r="G27" t="str">
        <f ca="1">IF(F27="","",$B$6+C27*$B$5-SUM($F$2:F27))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IF(SUM($D$2:D27)&gt;$B$4,"",D27+_xll.RiskExpon($B$3))</f>
        <v/>
      </c>
      <c r="E28" t="str">
        <f t="shared" ca="1" si="0"/>
        <v/>
      </c>
      <c r="F28" t="str">
        <f ca="1">IF(E28="","",_xll.RiskGamma($B$1,$B$2))</f>
        <v/>
      </c>
      <c r="G28" t="str">
        <f ca="1">IF(F28="","",$B$6+C28*$B$5-SUM($F$2:F28))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IF(SUM($D$2:D28)&gt;$B$4,"",D28+_xll.RiskExpon($B$3))</f>
        <v/>
      </c>
      <c r="E29" t="str">
        <f t="shared" ca="1" si="0"/>
        <v/>
      </c>
      <c r="F29" t="str">
        <f ca="1">IF(E29="","",_xll.RiskGamma($B$1,$B$2))</f>
        <v/>
      </c>
      <c r="G29" t="str">
        <f ca="1">IF(F29="","",$B$6+C29*$B$5-SUM($F$2:F29))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IF(SUM($D$2:D29)&gt;$B$4,"",D29+_xll.RiskExpon($B$3))</f>
        <v/>
      </c>
      <c r="E30" t="str">
        <f t="shared" ca="1" si="0"/>
        <v/>
      </c>
      <c r="F30" t="str">
        <f ca="1">IF(E30="","",_xll.RiskGamma($B$1,$B$2))</f>
        <v/>
      </c>
      <c r="G30" t="str">
        <f ca="1">IF(F30="","",$B$6+C30*$B$5-SUM($F$2:F30))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IF(SUM($D$2:D30)&gt;$B$4,"",D30+_xll.RiskExpon($B$3))</f>
        <v/>
      </c>
      <c r="E31" t="str">
        <f t="shared" ca="1" si="0"/>
        <v/>
      </c>
      <c r="F31" t="str">
        <f ca="1">IF(E31="","",_xll.RiskGamma($B$1,$B$2))</f>
        <v/>
      </c>
      <c r="G31" t="str">
        <f ca="1">IF(F31="","",$B$6+C31*$B$5-SUM($F$2:F31))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IF(SUM($D$2:D31)&gt;$B$4,"",D31+_xll.RiskExpon($B$3))</f>
        <v/>
      </c>
      <c r="E32" t="str">
        <f t="shared" ca="1" si="0"/>
        <v/>
      </c>
      <c r="F32" t="str">
        <f ca="1">IF(E32="","",_xll.RiskGamma($B$1,$B$2))</f>
        <v/>
      </c>
      <c r="G32" t="str">
        <f ca="1">IF(F32="","",$B$6+C32*$B$5-SUM($F$2:F32))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IF(SUM($D$2:D32)&gt;$B$4,"",D32+_xll.RiskExpon($B$3))</f>
        <v/>
      </c>
      <c r="E33" t="str">
        <f t="shared" ca="1" si="0"/>
        <v/>
      </c>
      <c r="F33" t="str">
        <f ca="1">IF(E33="","",_xll.RiskGamma($B$1,$B$2))</f>
        <v/>
      </c>
      <c r="G33" t="str">
        <f ca="1">IF(F33="","",$B$6+C33*$B$5-SUM($F$2:F33))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IF(SUM($D$2:D33)&gt;$B$4,"",D33+_xll.RiskExpon($B$3))</f>
        <v/>
      </c>
      <c r="E34" t="str">
        <f t="shared" ca="1" si="0"/>
        <v/>
      </c>
      <c r="F34" t="str">
        <f ca="1">IF(E34="","",_xll.RiskGamma($B$1,$B$2))</f>
        <v/>
      </c>
      <c r="G34" t="str">
        <f ca="1">IF(F34="","",$B$6+C34*$B$5-SUM($F$2:F34))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IF(SUM($D$2:D34)&gt;$B$4,"",D34+_xll.RiskExpon($B$3))</f>
        <v/>
      </c>
      <c r="E35" t="str">
        <f t="shared" ca="1" si="0"/>
        <v/>
      </c>
      <c r="F35" t="str">
        <f ca="1">IF(E35="","",_xll.RiskGamma($B$1,$B$2))</f>
        <v/>
      </c>
      <c r="G35" t="str">
        <f ca="1">IF(F35="","",$B$6+C35*$B$5-SUM($F$2:F35))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IF(SUM($D$2:D35)&gt;$B$4,"",D35+_xll.RiskExpon($B$3))</f>
        <v/>
      </c>
      <c r="E36" t="str">
        <f t="shared" ca="1" si="0"/>
        <v/>
      </c>
      <c r="F36" t="str">
        <f ca="1">IF(E36="","",_xll.RiskGamma($B$1,$B$2))</f>
        <v/>
      </c>
      <c r="G36" t="str">
        <f ca="1">IF(F36="","",$B$6+C36*$B$5-SUM($F$2:F36))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IF(SUM($D$2:D36)&gt;$B$4,"",D36+_xll.RiskExpon($B$3))</f>
        <v/>
      </c>
      <c r="E37" t="str">
        <f t="shared" ca="1" si="0"/>
        <v/>
      </c>
      <c r="F37" t="str">
        <f ca="1">IF(E37="","",_xll.RiskGamma($B$1,$B$2))</f>
        <v/>
      </c>
      <c r="G37" t="str">
        <f ca="1">IF(F37="","",$B$6+C37*$B$5-SUM($F$2:F37))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IF(SUM($D$2:D37)&gt;$B$4,"",D37+_xll.RiskExpon($B$3))</f>
        <v/>
      </c>
      <c r="E38" t="str">
        <f t="shared" ca="1" si="0"/>
        <v/>
      </c>
      <c r="F38" t="str">
        <f ca="1">IF(E38="","",_xll.RiskGamma($B$1,$B$2))</f>
        <v/>
      </c>
      <c r="G38" t="str">
        <f ca="1">IF(F38="","",$B$6+C38*$B$5-SUM($F$2:F38))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IF(SUM($D$2:D38)&gt;$B$4,"",D38+_xll.RiskExpon($B$3))</f>
        <v/>
      </c>
      <c r="E39" t="str">
        <f t="shared" ca="1" si="0"/>
        <v/>
      </c>
      <c r="F39" t="str">
        <f ca="1">IF(E39="","",_xll.RiskGamma($B$1,$B$2))</f>
        <v/>
      </c>
      <c r="G39" t="str">
        <f ca="1">IF(F39="","",$B$6+C39*$B$5-SUM($F$2:F39))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IF(SUM($D$2:D39)&gt;$B$4,"",D39+_xll.RiskExpon($B$3))</f>
        <v/>
      </c>
      <c r="E40" t="str">
        <f t="shared" ca="1" si="0"/>
        <v/>
      </c>
      <c r="F40" t="str">
        <f ca="1">IF(E40="","",_xll.RiskGamma($B$1,$B$2))</f>
        <v/>
      </c>
      <c r="G40" t="str">
        <f ca="1">IF(F40="","",$B$6+C40*$B$5-SUM($F$2:F40))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IF(SUM($D$2:D40)&gt;$B$4,"",D40+_xll.RiskExpon($B$3))</f>
        <v/>
      </c>
      <c r="E41" t="str">
        <f t="shared" ca="1" si="0"/>
        <v/>
      </c>
      <c r="F41" t="str">
        <f ca="1">IF(E41="","",_xll.RiskGamma($B$1,$B$2))</f>
        <v/>
      </c>
      <c r="G41" t="str">
        <f ca="1">IF(F41="","",$B$6+C41*$B$5-SUM($F$2:F41))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IF(SUM($D$2:D41)&gt;$B$4,"",D41+_xll.RiskExpon($B$3))</f>
        <v/>
      </c>
      <c r="E42" t="str">
        <f t="shared" ca="1" si="0"/>
        <v/>
      </c>
      <c r="F42" t="str">
        <f ca="1">IF(E42="","",_xll.RiskGamma($B$1,$B$2))</f>
        <v/>
      </c>
      <c r="G42" t="str">
        <f ca="1">IF(F42="","",$B$6+C42*$B$5-SUM($F$2:F42))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IF(SUM($D$2:D42)&gt;$B$4,"",D42+_xll.RiskExpon($B$3))</f>
        <v/>
      </c>
      <c r="E43" t="str">
        <f t="shared" ca="1" si="0"/>
        <v/>
      </c>
      <c r="F43" t="str">
        <f ca="1">IF(E43="","",_xll.RiskGamma($B$1,$B$2))</f>
        <v/>
      </c>
      <c r="G43" t="str">
        <f ca="1">IF(F43="","",$B$6+C43*$B$5-SUM($F$2:F43))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IF(SUM($D$2:D43)&gt;$B$4,"",D43+_xll.RiskExpon($B$3))</f>
        <v/>
      </c>
      <c r="E44" t="str">
        <f t="shared" ca="1" si="0"/>
        <v/>
      </c>
      <c r="F44" t="str">
        <f ca="1">IF(E44="","",_xll.RiskGamma($B$1,$B$2))</f>
        <v/>
      </c>
      <c r="G44" t="str">
        <f ca="1">IF(F44="","",$B$6+C44*$B$5-SUM($F$2:F44))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IF(SUM($D$2:D44)&gt;$B$4,"",D44+_xll.RiskExpon($B$3))</f>
        <v/>
      </c>
      <c r="E45" t="str">
        <f t="shared" ca="1" si="0"/>
        <v/>
      </c>
      <c r="F45" t="str">
        <f ca="1">IF(E45="","",_xll.RiskGamma($B$1,$B$2))</f>
        <v/>
      </c>
      <c r="G45" t="str">
        <f ca="1">IF(F45="","",$B$6+C45*$B$5-SUM($F$2:F45))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IF(SUM($D$2:D45)&gt;$B$4,"",D45+_xll.RiskExpon($B$3))</f>
        <v/>
      </c>
      <c r="E46" t="str">
        <f t="shared" ca="1" si="0"/>
        <v/>
      </c>
      <c r="F46" t="str">
        <f ca="1">IF(E46="","",_xll.RiskGamma($B$1,$B$2))</f>
        <v/>
      </c>
      <c r="G46" t="str">
        <f ca="1">IF(F46="","",$B$6+C46*$B$5-SUM($F$2:F46))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IF(SUM($D$2:D46)&gt;$B$4,"",D46+_xll.RiskExpon($B$3))</f>
        <v/>
      </c>
      <c r="E47" t="str">
        <f t="shared" ca="1" si="0"/>
        <v/>
      </c>
      <c r="F47" t="str">
        <f ca="1">IF(E47="","",_xll.RiskGamma($B$1,$B$2))</f>
        <v/>
      </c>
      <c r="G47" t="str">
        <f ca="1">IF(F47="","",$B$6+C47*$B$5-SUM($F$2:F47))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IF(SUM($D$2:D47)&gt;$B$4,"",D47+_xll.RiskExpon($B$3))</f>
        <v/>
      </c>
      <c r="E48" t="str">
        <f t="shared" ca="1" si="0"/>
        <v/>
      </c>
      <c r="F48" t="str">
        <f ca="1">IF(E48="","",_xll.RiskGamma($B$1,$B$2))</f>
        <v/>
      </c>
      <c r="G48" t="str">
        <f ca="1">IF(F48="","",$B$6+C48*$B$5-SUM($F$2:F48))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IF(SUM($D$2:D48)&gt;$B$4,"",D48+_xll.RiskExpon($B$3))</f>
        <v/>
      </c>
      <c r="E49" t="str">
        <f t="shared" ca="1" si="0"/>
        <v/>
      </c>
      <c r="F49" t="str">
        <f ca="1">IF(E49="","",_xll.RiskGamma($B$1,$B$2))</f>
        <v/>
      </c>
      <c r="G49" t="str">
        <f ca="1">IF(F49="","",$B$6+C49*$B$5-SUM($F$2:F49))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IF(SUM($D$2:D49)&gt;$B$4,"",D49+_xll.RiskExpon($B$3))</f>
        <v/>
      </c>
      <c r="E50" t="str">
        <f t="shared" ca="1" si="0"/>
        <v/>
      </c>
      <c r="F50" t="str">
        <f ca="1">IF(E50="","",_xll.RiskGamma($B$1,$B$2))</f>
        <v/>
      </c>
      <c r="G50" t="str">
        <f ca="1">IF(F50="","",$B$6+C50*$B$5-SUM($F$2:F50))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IF(SUM($D$2:D50)&gt;$B$4,"",D50+_xll.RiskExpon($B$3))</f>
        <v/>
      </c>
      <c r="E51" t="str">
        <f t="shared" ca="1" si="0"/>
        <v/>
      </c>
      <c r="F51" t="str">
        <f ca="1">IF(E51="","",_xll.RiskGamma($B$1,$B$2))</f>
        <v/>
      </c>
      <c r="G51" t="str">
        <f ca="1">IF(F51="","",$B$6+C51*$B$5-SUM($F$2:F51))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IF(SUM($D$2:D51)&gt;$B$4,"",D51+_xll.RiskExpon($B$3))</f>
        <v/>
      </c>
      <c r="E52" t="str">
        <f t="shared" ca="1" si="0"/>
        <v/>
      </c>
      <c r="F52" t="str">
        <f ca="1">IF(E52="","",_xll.RiskGamma($B$1,$B$2))</f>
        <v/>
      </c>
      <c r="G52" t="str">
        <f ca="1">IF(F52="","",$B$6+C52*$B$5-SUM($F$2:F52))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IF(SUM($D$2:D52)&gt;$B$4,"",D52+_xll.RiskExpon($B$3))</f>
        <v/>
      </c>
      <c r="E53" t="str">
        <f t="shared" ca="1" si="0"/>
        <v/>
      </c>
      <c r="F53" t="str">
        <f ca="1">IF(E53="","",_xll.RiskGamma($B$1,$B$2))</f>
        <v/>
      </c>
      <c r="G53" t="str">
        <f ca="1">IF(F53="","",$B$6+C53*$B$5-SUM($F$2:F53))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IF(SUM($D$2:D53)&gt;$B$4,"",D53+_xll.RiskExpon($B$3))</f>
        <v/>
      </c>
      <c r="E54" t="str">
        <f t="shared" ca="1" si="0"/>
        <v/>
      </c>
      <c r="F54" t="str">
        <f ca="1">IF(E54="","",_xll.RiskGamma($B$1,$B$2))</f>
        <v/>
      </c>
      <c r="G54" t="str">
        <f ca="1">IF(F54="","",$B$6+C54*$B$5-SUM($F$2:F54))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IF(SUM($D$2:D54)&gt;$B$4,"",D54+_xll.RiskExpon($B$3))</f>
        <v/>
      </c>
      <c r="E55" t="str">
        <f t="shared" ca="1" si="0"/>
        <v/>
      </c>
      <c r="F55" t="str">
        <f ca="1">IF(E55="","",_xll.RiskGamma($B$1,$B$2))</f>
        <v/>
      </c>
      <c r="G55" t="str">
        <f ca="1">IF(F55="","",$B$6+C55*$B$5-SUM($F$2:F55))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IF(SUM($D$2:D55)&gt;$B$4,"",D55+_xll.RiskExpon($B$3))</f>
        <v/>
      </c>
      <c r="E56" t="str">
        <f t="shared" ca="1" si="0"/>
        <v/>
      </c>
      <c r="F56" t="str">
        <f ca="1">IF(E56="","",_xll.RiskGamma($B$1,$B$2))</f>
        <v/>
      </c>
      <c r="G56" t="str">
        <f ca="1">IF(F56="","",$B$6+C56*$B$5-SUM($F$2:F56))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IF(SUM($D$2:D56)&gt;$B$4,"",D56+_xll.RiskExpon($B$3))</f>
        <v/>
      </c>
      <c r="E57" t="str">
        <f t="shared" ca="1" si="0"/>
        <v/>
      </c>
      <c r="F57" t="str">
        <f ca="1">IF(E57="","",_xll.RiskGamma($B$1,$B$2))</f>
        <v/>
      </c>
      <c r="G57" t="str">
        <f ca="1">IF(F57="","",$B$6+C57*$B$5-SUM($F$2:F57))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IF(SUM($D$2:D57)&gt;$B$4,"",D57+_xll.RiskExpon($B$3))</f>
        <v/>
      </c>
      <c r="E58" t="str">
        <f t="shared" ca="1" si="0"/>
        <v/>
      </c>
      <c r="F58" t="str">
        <f ca="1">IF(E58="","",_xll.RiskGamma($B$1,$B$2))</f>
        <v/>
      </c>
      <c r="G58" t="str">
        <f ca="1">IF(F58="","",$B$6+C58*$B$5-SUM($F$2:F58))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IF(SUM($D$2:D58)&gt;$B$4,"",D58+_xll.RiskExpon($B$3))</f>
        <v/>
      </c>
      <c r="E59" t="str">
        <f t="shared" ca="1" si="0"/>
        <v/>
      </c>
      <c r="F59" t="str">
        <f ca="1">IF(E59="","",_xll.RiskGamma($B$1,$B$2))</f>
        <v/>
      </c>
      <c r="G59" t="str">
        <f ca="1">IF(F59="","",$B$6+C59*$B$5-SUM($F$2:F59))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IF(SUM($D$2:D59)&gt;$B$4,"",D59+_xll.RiskExpon($B$3))</f>
        <v/>
      </c>
      <c r="E60" t="str">
        <f t="shared" ca="1" si="0"/>
        <v/>
      </c>
      <c r="F60" t="str">
        <f ca="1">IF(E60="","",_xll.RiskGamma($B$1,$B$2))</f>
        <v/>
      </c>
      <c r="G60" t="str">
        <f ca="1">IF(F60="","",$B$6+C60*$B$5-SUM($F$2:F60))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IF(SUM($D$2:D60)&gt;$B$4,"",D60+_xll.RiskExpon($B$3))</f>
        <v/>
      </c>
      <c r="E61" t="str">
        <f t="shared" ca="1" si="0"/>
        <v/>
      </c>
      <c r="F61" t="str">
        <f ca="1">IF(E61="","",_xll.RiskGamma($B$1,$B$2))</f>
        <v/>
      </c>
      <c r="G61" t="str">
        <f ca="1">IF(F61="","",$B$6+C61*$B$5-SUM($F$2:F61))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IF(SUM($D$2:D61)&gt;$B$4,"",D61+_xll.RiskExpon($B$3))</f>
        <v/>
      </c>
      <c r="E62" t="str">
        <f t="shared" ca="1" si="0"/>
        <v/>
      </c>
      <c r="F62" t="str">
        <f ca="1">IF(E62="","",_xll.RiskGamma($B$1,$B$2))</f>
        <v/>
      </c>
      <c r="G62" t="str">
        <f ca="1">IF(F62="","",$B$6+C62*$B$5-SUM($F$2:F62))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IF(SUM($D$2:D62)&gt;$B$4,"",D62+_xll.RiskExpon($B$3))</f>
        <v/>
      </c>
      <c r="E63" t="str">
        <f t="shared" ca="1" si="0"/>
        <v/>
      </c>
      <c r="F63" t="str">
        <f ca="1">IF(E63="","",_xll.RiskGamma($B$1,$B$2))</f>
        <v/>
      </c>
      <c r="G63" t="str">
        <f ca="1">IF(F63="","",$B$6+C63*$B$5-SUM($F$2:F63))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IF(SUM($D$2:D63)&gt;$B$4,"",D63+_xll.RiskExpon($B$3))</f>
        <v/>
      </c>
      <c r="E64" t="str">
        <f t="shared" ca="1" si="0"/>
        <v/>
      </c>
      <c r="F64" t="str">
        <f ca="1">IF(E64="","",_xll.RiskGamma($B$1,$B$2))</f>
        <v/>
      </c>
      <c r="G64" t="str">
        <f ca="1">IF(F64="","",$B$6+C64*$B$5-SUM($F$2:F64))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IF(SUM($D$2:D64)&gt;$B$4,"",D64+_xll.RiskExpon($B$3))</f>
        <v/>
      </c>
      <c r="E65" t="str">
        <f t="shared" ca="1" si="0"/>
        <v/>
      </c>
      <c r="F65" t="str">
        <f ca="1">IF(E65="","",_xll.RiskGamma($B$1,$B$2))</f>
        <v/>
      </c>
      <c r="G65" t="str">
        <f ca="1">IF(F65="","",$B$6+C65*$B$5-SUM($F$2:F65))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IF(SUM($D$2:D65)&gt;$B$4,"",D65+_xll.RiskExpon($B$3))</f>
        <v/>
      </c>
      <c r="E66" t="str">
        <f t="shared" ca="1" si="0"/>
        <v/>
      </c>
      <c r="F66" t="str">
        <f ca="1">IF(E66="","",_xll.RiskGamma($B$1,$B$2))</f>
        <v/>
      </c>
      <c r="G66" t="str">
        <f ca="1">IF(F66="","",$B$6+C66*$B$5-SUM($F$2:F66))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IF(SUM($D$2:D66)&gt;$B$4,"",D66+_xll.RiskExpon($B$3))</f>
        <v/>
      </c>
      <c r="E67" t="str">
        <f t="shared" ca="1" si="0"/>
        <v/>
      </c>
      <c r="F67" t="str">
        <f ca="1">IF(E67="","",_xll.RiskGamma($B$1,$B$2))</f>
        <v/>
      </c>
      <c r="G67" t="str">
        <f ca="1">IF(F67="","",$B$6+C67*$B$5-SUM($F$2:F67))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IF(SUM($D$2:D67)&gt;$B$4,"",D67+_xll.RiskExpon($B$3))</f>
        <v/>
      </c>
      <c r="E68" t="str">
        <f t="shared" ref="E68:E131" ca="1" si="1">IF(E67&lt;$B$7,E67+1,"")</f>
        <v/>
      </c>
      <c r="F68" t="str">
        <f ca="1">IF(E68="","",_xll.RiskGamma($B$1,$B$2))</f>
        <v/>
      </c>
      <c r="G68" t="str">
        <f ca="1">IF(F68="","",$B$6+C68*$B$5-SUM($F$2:F68))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IF(SUM($D$2:D68)&gt;$B$4,"",D68+_xll.RiskExpon($B$3))</f>
        <v/>
      </c>
      <c r="E69" t="str">
        <f t="shared" ca="1" si="1"/>
        <v/>
      </c>
      <c r="F69" t="str">
        <f ca="1">IF(E69="","",_xll.RiskGamma($B$1,$B$2))</f>
        <v/>
      </c>
      <c r="G69" t="str">
        <f ca="1">IF(F69="","",$B$6+C69*$B$5-SUM($F$2:F69))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IF(SUM($D$2:D69)&gt;$B$4,"",D69+_xll.RiskExpon($B$3))</f>
        <v/>
      </c>
      <c r="E70" t="str">
        <f t="shared" ca="1" si="1"/>
        <v/>
      </c>
      <c r="F70" t="str">
        <f ca="1">IF(E70="","",_xll.RiskGamma($B$1,$B$2))</f>
        <v/>
      </c>
      <c r="G70" t="str">
        <f ca="1">IF(F70="","",$B$6+C70*$B$5-SUM($F$2:F70))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IF(SUM($D$2:D70)&gt;$B$4,"",D70+_xll.RiskExpon($B$3))</f>
        <v/>
      </c>
      <c r="E71" t="str">
        <f t="shared" ca="1" si="1"/>
        <v/>
      </c>
      <c r="F71" t="str">
        <f ca="1">IF(E71="","",_xll.RiskGamma($B$1,$B$2))</f>
        <v/>
      </c>
      <c r="G71" t="str">
        <f ca="1">IF(F71="","",$B$6+C71*$B$5-SUM($F$2:F71))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IF(SUM($D$2:D71)&gt;$B$4,"",D71+_xll.RiskExpon($B$3))</f>
        <v/>
      </c>
      <c r="E72" t="str">
        <f t="shared" ca="1" si="1"/>
        <v/>
      </c>
      <c r="F72" t="str">
        <f ca="1">IF(E72="","",_xll.RiskGamma($B$1,$B$2))</f>
        <v/>
      </c>
      <c r="G72" t="str">
        <f ca="1">IF(F72="","",$B$6+C72*$B$5-SUM($F$2:F72))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IF(SUM($D$2:D72)&gt;$B$4,"",D72+_xll.RiskExpon($B$3))</f>
        <v/>
      </c>
      <c r="E73" t="str">
        <f t="shared" ca="1" si="1"/>
        <v/>
      </c>
      <c r="F73" t="str">
        <f ca="1">IF(E73="","",_xll.RiskGamma($B$1,$B$2))</f>
        <v/>
      </c>
      <c r="G73" t="str">
        <f ca="1">IF(F73="","",$B$6+C73*$B$5-SUM($F$2:F73))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IF(SUM($D$2:D73)&gt;$B$4,"",D73+_xll.RiskExpon($B$3))</f>
        <v/>
      </c>
      <c r="E74" t="str">
        <f t="shared" ca="1" si="1"/>
        <v/>
      </c>
      <c r="F74" t="str">
        <f ca="1">IF(E74="","",_xll.RiskGamma($B$1,$B$2))</f>
        <v/>
      </c>
      <c r="G74" t="str">
        <f ca="1">IF(F74="","",$B$6+C74*$B$5-SUM($F$2:F74))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IF(SUM($D$2:D74)&gt;$B$4,"",D74+_xll.RiskExpon($B$3))</f>
        <v/>
      </c>
      <c r="E75" t="str">
        <f t="shared" ca="1" si="1"/>
        <v/>
      </c>
      <c r="F75" t="str">
        <f ca="1">IF(E75="","",_xll.RiskGamma($B$1,$B$2))</f>
        <v/>
      </c>
      <c r="G75" t="str">
        <f ca="1">IF(F75="","",$B$6+C75*$B$5-SUM($F$2:F75))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IF(SUM($D$2:D75)&gt;$B$4,"",D75+_xll.RiskExpon($B$3))</f>
        <v/>
      </c>
      <c r="E76" t="str">
        <f t="shared" ca="1" si="1"/>
        <v/>
      </c>
      <c r="F76" t="str">
        <f ca="1">IF(E76="","",_xll.RiskGamma($B$1,$B$2))</f>
        <v/>
      </c>
      <c r="G76" t="str">
        <f ca="1">IF(F76="","",$B$6+C76*$B$5-SUM($F$2:F76))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IF(SUM($D$2:D76)&gt;$B$4,"",D76+_xll.RiskExpon($B$3))</f>
        <v/>
      </c>
      <c r="E77" t="str">
        <f t="shared" ca="1" si="1"/>
        <v/>
      </c>
      <c r="F77" t="str">
        <f ca="1">IF(E77="","",_xll.RiskGamma($B$1,$B$2))</f>
        <v/>
      </c>
      <c r="G77" t="str">
        <f ca="1">IF(F77="","",$B$6+C77*$B$5-SUM($F$2:F77))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IF(SUM($D$2:D77)&gt;$B$4,"",D77+_xll.RiskExpon($B$3))</f>
        <v/>
      </c>
      <c r="E78" t="str">
        <f t="shared" ca="1" si="1"/>
        <v/>
      </c>
      <c r="F78" t="str">
        <f ca="1">IF(E78="","",_xll.RiskGamma($B$1,$B$2))</f>
        <v/>
      </c>
      <c r="G78" t="str">
        <f ca="1">IF(F78="","",$B$6+C78*$B$5-SUM($F$2:F78))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IF(SUM($D$2:D78)&gt;$B$4,"",D78+_xll.RiskExpon($B$3))</f>
        <v/>
      </c>
      <c r="E79" t="str">
        <f t="shared" ca="1" si="1"/>
        <v/>
      </c>
      <c r="F79" t="str">
        <f ca="1">IF(E79="","",_xll.RiskGamma($B$1,$B$2))</f>
        <v/>
      </c>
      <c r="G79" t="str">
        <f ca="1">IF(F79="","",$B$6+C79*$B$5-SUM($F$2:F79))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IF(SUM($D$2:D79)&gt;$B$4,"",D79+_xll.RiskExpon($B$3))</f>
        <v/>
      </c>
      <c r="E80" t="str">
        <f t="shared" ca="1" si="1"/>
        <v/>
      </c>
      <c r="F80" t="str">
        <f ca="1">IF(E80="","",_xll.RiskGamma($B$1,$B$2))</f>
        <v/>
      </c>
      <c r="G80" t="str">
        <f ca="1">IF(F80="","",$B$6+C80*$B$5-SUM($F$2:F80))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IF(SUM($D$2:D80)&gt;$B$4,"",D80+_xll.RiskExpon($B$3))</f>
        <v/>
      </c>
      <c r="E81" t="str">
        <f t="shared" ca="1" si="1"/>
        <v/>
      </c>
      <c r="F81" t="str">
        <f ca="1">IF(E81="","",_xll.RiskGamma($B$1,$B$2))</f>
        <v/>
      </c>
      <c r="G81" t="str">
        <f ca="1">IF(F81="","",$B$6+C81*$B$5-SUM($F$2:F81))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IF(SUM($D$2:D81)&gt;$B$4,"",D81+_xll.RiskExpon($B$3))</f>
        <v/>
      </c>
      <c r="E82" t="str">
        <f t="shared" ca="1" si="1"/>
        <v/>
      </c>
      <c r="F82" t="str">
        <f ca="1">IF(E82="","",_xll.RiskGamma($B$1,$B$2))</f>
        <v/>
      </c>
      <c r="G82" t="str">
        <f ca="1">IF(F82="","",$B$6+C82*$B$5-SUM($F$2:F82))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IF(SUM($D$2:D82)&gt;$B$4,"",D82+_xll.RiskExpon($B$3))</f>
        <v/>
      </c>
      <c r="E83" t="str">
        <f t="shared" ca="1" si="1"/>
        <v/>
      </c>
      <c r="F83" t="str">
        <f ca="1">IF(E83="","",_xll.RiskGamma($B$1,$B$2))</f>
        <v/>
      </c>
      <c r="G83" t="str">
        <f ca="1">IF(F83="","",$B$6+C83*$B$5-SUM($F$2:F83))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IF(SUM($D$2:D83)&gt;$B$4,"",D83+_xll.RiskExpon($B$3))</f>
        <v/>
      </c>
      <c r="E84" t="str">
        <f t="shared" ca="1" si="1"/>
        <v/>
      </c>
      <c r="F84" t="str">
        <f ca="1">IF(E84="","",_xll.RiskGamma($B$1,$B$2))</f>
        <v/>
      </c>
      <c r="G84" t="str">
        <f ca="1">IF(F84="","",$B$6+C84*$B$5-SUM($F$2:F84))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IF(SUM($D$2:D84)&gt;$B$4,"",D84+_xll.RiskExpon($B$3))</f>
        <v/>
      </c>
      <c r="E85" t="str">
        <f t="shared" ca="1" si="1"/>
        <v/>
      </c>
      <c r="F85" t="str">
        <f ca="1">IF(E85="","",_xll.RiskGamma($B$1,$B$2))</f>
        <v/>
      </c>
      <c r="G85" t="str">
        <f ca="1">IF(F85="","",$B$6+C85*$B$5-SUM($F$2:F85))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IF(SUM($D$2:D85)&gt;$B$4,"",D85+_xll.RiskExpon($B$3))</f>
        <v/>
      </c>
      <c r="E86" t="str">
        <f t="shared" ca="1" si="1"/>
        <v/>
      </c>
      <c r="F86" t="str">
        <f ca="1">IF(E86="","",_xll.RiskGamma($B$1,$B$2))</f>
        <v/>
      </c>
      <c r="G86" t="str">
        <f ca="1">IF(F86="","",$B$6+C86*$B$5-SUM($F$2:F86))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IF(SUM($D$2:D86)&gt;$B$4,"",D86+_xll.RiskExpon($B$3))</f>
        <v/>
      </c>
      <c r="E87" t="str">
        <f t="shared" ca="1" si="1"/>
        <v/>
      </c>
      <c r="F87" t="str">
        <f ca="1">IF(E87="","",_xll.RiskGamma($B$1,$B$2))</f>
        <v/>
      </c>
      <c r="G87" t="str">
        <f ca="1">IF(F87="","",$B$6+C87*$B$5-SUM($F$2:F87))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IF(SUM($D$2:D87)&gt;$B$4,"",D87+_xll.RiskExpon($B$3))</f>
        <v/>
      </c>
      <c r="E88" t="str">
        <f t="shared" ca="1" si="1"/>
        <v/>
      </c>
      <c r="F88" t="str">
        <f ca="1">IF(E88="","",_xll.RiskGamma($B$1,$B$2))</f>
        <v/>
      </c>
      <c r="G88" t="str">
        <f ca="1">IF(F88="","",$B$6+C88*$B$5-SUM($F$2:F88))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IF(SUM($D$2:D88)&gt;$B$4,"",D88+_xll.RiskExpon($B$3))</f>
        <v/>
      </c>
      <c r="E89" t="str">
        <f t="shared" ca="1" si="1"/>
        <v/>
      </c>
      <c r="F89" t="str">
        <f ca="1">IF(E89="","",_xll.RiskGamma($B$1,$B$2))</f>
        <v/>
      </c>
      <c r="G89" t="str">
        <f ca="1">IF(F89="","",$B$6+C89*$B$5-SUM($F$2:F89))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IF(SUM($D$2:D89)&gt;$B$4,"",D89+_xll.RiskExpon($B$3))</f>
        <v/>
      </c>
      <c r="E90" t="str">
        <f t="shared" ca="1" si="1"/>
        <v/>
      </c>
      <c r="F90" t="str">
        <f ca="1">IF(E90="","",_xll.RiskGamma($B$1,$B$2))</f>
        <v/>
      </c>
      <c r="G90" t="str">
        <f ca="1">IF(F90="","",$B$6+C90*$B$5-SUM($F$2:F90))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IF(SUM($D$2:D90)&gt;$B$4,"",D90+_xll.RiskExpon($B$3))</f>
        <v/>
      </c>
      <c r="E91" t="str">
        <f t="shared" ca="1" si="1"/>
        <v/>
      </c>
      <c r="F91" t="str">
        <f ca="1">IF(E91="","",_xll.RiskGamma($B$1,$B$2))</f>
        <v/>
      </c>
      <c r="G91" t="str">
        <f ca="1">IF(F91="","",$B$6+C91*$B$5-SUM($F$2:F91))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IF(SUM($D$2:D91)&gt;$B$4,"",D91+_xll.RiskExpon($B$3))</f>
        <v/>
      </c>
      <c r="E92" t="str">
        <f t="shared" ca="1" si="1"/>
        <v/>
      </c>
      <c r="F92" t="str">
        <f ca="1">IF(E92="","",_xll.RiskGamma($B$1,$B$2))</f>
        <v/>
      </c>
      <c r="G92" t="str">
        <f ca="1">IF(F92="","",$B$6+C92*$B$5-SUM($F$2:F92))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IF(SUM($D$2:D92)&gt;$B$4,"",D92+_xll.RiskExpon($B$3))</f>
        <v/>
      </c>
      <c r="E93" t="str">
        <f t="shared" ca="1" si="1"/>
        <v/>
      </c>
      <c r="F93" t="str">
        <f ca="1">IF(E93="","",_xll.RiskGamma($B$1,$B$2))</f>
        <v/>
      </c>
      <c r="G93" t="str">
        <f ca="1">IF(F93="","",$B$6+C93*$B$5-SUM($F$2:F93))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IF(SUM($D$2:D93)&gt;$B$4,"",D93+_xll.RiskExpon($B$3))</f>
        <v/>
      </c>
      <c r="E94" t="str">
        <f t="shared" ca="1" si="1"/>
        <v/>
      </c>
      <c r="F94" t="str">
        <f ca="1">IF(E94="","",_xll.RiskGamma($B$1,$B$2))</f>
        <v/>
      </c>
      <c r="G94" t="str">
        <f ca="1">IF(F94="","",$B$6+C94*$B$5-SUM($F$2:F94))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IF(SUM($D$2:D94)&gt;$B$4,"",D94+_xll.RiskExpon($B$3))</f>
        <v/>
      </c>
      <c r="E95" t="str">
        <f t="shared" ca="1" si="1"/>
        <v/>
      </c>
      <c r="F95" t="str">
        <f ca="1">IF(E95="","",_xll.RiskGamma($B$1,$B$2))</f>
        <v/>
      </c>
      <c r="G95" t="str">
        <f ca="1">IF(F95="","",$B$6+C95*$B$5-SUM($F$2:F95))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IF(SUM($D$2:D95)&gt;$B$4,"",D95+_xll.RiskExpon($B$3))</f>
        <v/>
      </c>
      <c r="E96" t="str">
        <f t="shared" ca="1" si="1"/>
        <v/>
      </c>
      <c r="F96" t="str">
        <f ca="1">IF(E96="","",_xll.RiskGamma($B$1,$B$2))</f>
        <v/>
      </c>
      <c r="G96" t="str">
        <f ca="1">IF(F96="","",$B$6+C96*$B$5-SUM($F$2:F96))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IF(SUM($D$2:D96)&gt;$B$4,"",D96+_xll.RiskExpon($B$3))</f>
        <v/>
      </c>
      <c r="E97" t="str">
        <f t="shared" ca="1" si="1"/>
        <v/>
      </c>
      <c r="F97" t="str">
        <f ca="1">IF(E97="","",_xll.RiskGamma($B$1,$B$2))</f>
        <v/>
      </c>
      <c r="G97" t="str">
        <f ca="1">IF(F97="","",$B$6+C97*$B$5-SUM($F$2:F97))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IF(SUM($D$2:D97)&gt;$B$4,"",D97+_xll.RiskExpon($B$3))</f>
        <v/>
      </c>
      <c r="E98" t="str">
        <f t="shared" ca="1" si="1"/>
        <v/>
      </c>
      <c r="F98" t="str">
        <f ca="1">IF(E98="","",_xll.RiskGamma($B$1,$B$2))</f>
        <v/>
      </c>
      <c r="G98" t="str">
        <f ca="1">IF(F98="","",$B$6+C98*$B$5-SUM($F$2:F98))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IF(SUM($D$2:D98)&gt;$B$4,"",D98+_xll.RiskExpon($B$3))</f>
        <v/>
      </c>
      <c r="E99" t="str">
        <f t="shared" ca="1" si="1"/>
        <v/>
      </c>
      <c r="F99" t="str">
        <f ca="1">IF(E99="","",_xll.RiskGamma($B$1,$B$2))</f>
        <v/>
      </c>
      <c r="G99" t="str">
        <f ca="1">IF(F99="","",$B$6+C99*$B$5-SUM($F$2:F99))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IF(SUM($D$2:D99)&gt;$B$4,"",D99+_xll.RiskExpon($B$3))</f>
        <v/>
      </c>
      <c r="E100" t="str">
        <f t="shared" ca="1" si="1"/>
        <v/>
      </c>
      <c r="F100" t="str">
        <f ca="1">IF(E100="","",_xll.RiskGamma($B$1,$B$2))</f>
        <v/>
      </c>
      <c r="G100" t="str">
        <f ca="1">IF(F100="","",$B$6+C100*$B$5-SUM($F$2:F100))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IF(SUM($D$2:D100)&gt;$B$4,"",D100+_xll.RiskExpon($B$3))</f>
        <v/>
      </c>
      <c r="E101" t="str">
        <f t="shared" ca="1" si="1"/>
        <v/>
      </c>
      <c r="F101" t="str">
        <f ca="1">IF(E101="","",_xll.RiskGamma($B$1,$B$2))</f>
        <v/>
      </c>
      <c r="G101" t="str">
        <f ca="1">IF(F101="","",$B$6+C101*$B$5-SUM($F$2:F101))</f>
        <v/>
      </c>
    </row>
    <row r="102" spans="3:7" x14ac:dyDescent="0.25">
      <c r="D102" t="str">
        <f ca="1">IF(SUM($D$2:D101)&gt;$B$4,"",D101+_xll.RiskExpon($B$3))</f>
        <v/>
      </c>
      <c r="E102" t="str">
        <f t="shared" ca="1" si="1"/>
        <v/>
      </c>
      <c r="F102" t="str">
        <f ca="1">IF(E102="","",_xll.RiskGamma($B$1,$B$2))</f>
        <v/>
      </c>
      <c r="G102" t="str">
        <f ca="1">IF(F102="","",$B$6+C102*$B$5-SUM($F$2:F102))</f>
        <v/>
      </c>
    </row>
    <row r="103" spans="3:7" x14ac:dyDescent="0.25">
      <c r="D103" t="str">
        <f ca="1">IF(SUM($D$2:D102)&gt;$B$4,"",D102+_xll.RiskExpon($B$3))</f>
        <v/>
      </c>
      <c r="E103" t="str">
        <f t="shared" ca="1" si="1"/>
        <v/>
      </c>
      <c r="F103" t="str">
        <f ca="1">IF(E103="","",_xll.RiskGamma($B$1,$B$2))</f>
        <v/>
      </c>
      <c r="G103" t="str">
        <f ca="1">IF(F103="","",$B$6+C103*$B$5-SUM($F$2:F103))</f>
        <v/>
      </c>
    </row>
    <row r="104" spans="3:7" x14ac:dyDescent="0.25">
      <c r="D104" t="str">
        <f ca="1">IF(SUM($D$2:D103)&gt;$B$4,"",D103+_xll.RiskExpon($B$3))</f>
        <v/>
      </c>
      <c r="E104" t="str">
        <f t="shared" ca="1" si="1"/>
        <v/>
      </c>
      <c r="F104" t="str">
        <f ca="1">IF(E104="","",_xll.RiskGamma($B$1,$B$2))</f>
        <v/>
      </c>
      <c r="G104" t="str">
        <f ca="1">IF(F104="","",$B$6+C104*$B$5-SUM($F$2:F104))</f>
        <v/>
      </c>
    </row>
    <row r="105" spans="3:7" x14ac:dyDescent="0.25">
      <c r="D105" t="str">
        <f ca="1">IF(SUM($D$2:D104)&gt;$B$4,"",D104+_xll.RiskExpon($B$3))</f>
        <v/>
      </c>
      <c r="E105" t="str">
        <f t="shared" ca="1" si="1"/>
        <v/>
      </c>
      <c r="F105" t="str">
        <f ca="1">IF(E105="","",_xll.RiskGamma($B$1,$B$2))</f>
        <v/>
      </c>
      <c r="G105" t="str">
        <f ca="1">IF(F105="","",$B$6+C105*$B$5-SUM($F$2:F105))</f>
        <v/>
      </c>
    </row>
    <row r="106" spans="3:7" x14ac:dyDescent="0.25">
      <c r="D106" t="str">
        <f ca="1">IF(SUM($D$2:D105)&gt;$B$4,"",D105+_xll.RiskExpon($B$3))</f>
        <v/>
      </c>
      <c r="E106" t="str">
        <f t="shared" ca="1" si="1"/>
        <v/>
      </c>
      <c r="F106" t="str">
        <f ca="1">IF(E106="","",_xll.RiskGamma($B$1,$B$2))</f>
        <v/>
      </c>
      <c r="G106" t="str">
        <f ca="1">IF(F106="","",$B$6+C106*$B$5-SUM($F$2:F106))</f>
        <v/>
      </c>
    </row>
    <row r="107" spans="3:7" x14ac:dyDescent="0.25">
      <c r="D107" t="str">
        <f ca="1">IF(SUM($D$2:D106)&gt;$B$4,"",D106+_xll.RiskExpon($B$3))</f>
        <v/>
      </c>
      <c r="E107" t="str">
        <f t="shared" ca="1" si="1"/>
        <v/>
      </c>
      <c r="F107" t="str">
        <f ca="1">IF(E107="","",_xll.RiskGamma($B$1,$B$2))</f>
        <v/>
      </c>
      <c r="G107" t="str">
        <f ca="1">IF(F107="","",$B$6+C107*$B$5-SUM($F$2:F107))</f>
        <v/>
      </c>
    </row>
    <row r="108" spans="3:7" x14ac:dyDescent="0.25">
      <c r="D108" t="str">
        <f ca="1">IF(SUM($D$2:D107)&gt;$B$4,"",D107+_xll.RiskExpon($B$3))</f>
        <v/>
      </c>
      <c r="E108" t="str">
        <f t="shared" ca="1" si="1"/>
        <v/>
      </c>
      <c r="F108" t="str">
        <f ca="1">IF(E108="","",_xll.RiskGamma($B$1,$B$2))</f>
        <v/>
      </c>
      <c r="G108" t="str">
        <f ca="1">IF(F108="","",$B$6+C108*$B$5-SUM($F$2:F108))</f>
        <v/>
      </c>
    </row>
    <row r="109" spans="3:7" x14ac:dyDescent="0.25">
      <c r="D109" t="str">
        <f ca="1">IF(SUM($D$2:D108)&gt;$B$4,"",D108+_xll.RiskExpon($B$3))</f>
        <v/>
      </c>
      <c r="E109" t="str">
        <f t="shared" ca="1" si="1"/>
        <v/>
      </c>
      <c r="F109" t="str">
        <f ca="1">IF(E109="","",_xll.RiskGamma($B$1,$B$2))</f>
        <v/>
      </c>
      <c r="G109" t="str">
        <f ca="1">IF(F109="","",$B$6+C109*$B$5-SUM($F$2:F109))</f>
        <v/>
      </c>
    </row>
    <row r="110" spans="3:7" x14ac:dyDescent="0.25">
      <c r="D110" t="str">
        <f ca="1">IF(SUM($D$2:D109)&gt;$B$4,"",D109+_xll.RiskExpon($B$3))</f>
        <v/>
      </c>
      <c r="E110" t="str">
        <f t="shared" ca="1" si="1"/>
        <v/>
      </c>
      <c r="F110" t="str">
        <f ca="1">IF(E110="","",_xll.RiskGamma($B$1,$B$2))</f>
        <v/>
      </c>
      <c r="G110" t="str">
        <f ca="1">IF(F110="","",$B$6+C110*$B$5-SUM($F$2:F110))</f>
        <v/>
      </c>
    </row>
    <row r="111" spans="3:7" x14ac:dyDescent="0.25">
      <c r="D111" t="str">
        <f ca="1">IF(SUM($D$2:D110)&gt;$B$4,"",D110+_xll.RiskExpon($B$3))</f>
        <v/>
      </c>
      <c r="E111" t="str">
        <f t="shared" ca="1" si="1"/>
        <v/>
      </c>
      <c r="F111" t="str">
        <f ca="1">IF(E111="","",_xll.RiskGamma($B$1,$B$2))</f>
        <v/>
      </c>
      <c r="G111" t="str">
        <f ca="1">IF(F111="","",$B$6+C111*$B$5-SUM($F$2:F111))</f>
        <v/>
      </c>
    </row>
    <row r="112" spans="3:7" x14ac:dyDescent="0.25">
      <c r="D112" t="str">
        <f ca="1">IF(SUM($D$2:D111)&gt;$B$4,"",D111+_xll.RiskExpon($B$3))</f>
        <v/>
      </c>
      <c r="E112" t="str">
        <f t="shared" ca="1" si="1"/>
        <v/>
      </c>
      <c r="F112" t="str">
        <f ca="1">IF(E112="","",_xll.RiskGamma($B$1,$B$2))</f>
        <v/>
      </c>
      <c r="G112" t="str">
        <f ca="1">IF(F112="","",$B$6+C112*$B$5-SUM($F$2:F112))</f>
        <v/>
      </c>
    </row>
    <row r="113" spans="4:7" x14ac:dyDescent="0.25">
      <c r="D113" t="str">
        <f ca="1">IF(SUM($D$2:D112)&gt;$B$4,"",D112+_xll.RiskExpon($B$3))</f>
        <v/>
      </c>
      <c r="E113" t="str">
        <f t="shared" ca="1" si="1"/>
        <v/>
      </c>
      <c r="F113" t="str">
        <f ca="1">IF(E113="","",_xll.RiskGamma($B$1,$B$2))</f>
        <v/>
      </c>
      <c r="G113" t="str">
        <f ca="1">IF(F113="","",$B$6+C113*$B$5-SUM($F$2:F113))</f>
        <v/>
      </c>
    </row>
    <row r="114" spans="4:7" x14ac:dyDescent="0.25">
      <c r="D114" t="str">
        <f ca="1">IF(SUM($D$2:D113)&gt;$B$4,"",D113+_xll.RiskExpon($B$3))</f>
        <v/>
      </c>
      <c r="E114" t="str">
        <f t="shared" ca="1" si="1"/>
        <v/>
      </c>
      <c r="F114" t="str">
        <f ca="1">IF(E114="","",_xll.RiskGamma($B$1,$B$2))</f>
        <v/>
      </c>
      <c r="G114" t="str">
        <f ca="1">IF(F114="","",$B$6+C114*$B$5-SUM($F$2:F114))</f>
        <v/>
      </c>
    </row>
    <row r="115" spans="4:7" x14ac:dyDescent="0.25">
      <c r="D115" t="str">
        <f ca="1">IF(SUM($D$2:D114)&gt;$B$4,"",D114+_xll.RiskExpon($B$3))</f>
        <v/>
      </c>
      <c r="E115" t="str">
        <f t="shared" ca="1" si="1"/>
        <v/>
      </c>
      <c r="F115" t="str">
        <f ca="1">IF(E115="","",_xll.RiskGamma($B$1,$B$2))</f>
        <v/>
      </c>
      <c r="G115" t="str">
        <f ca="1">IF(F115="","",$B$6+C115*$B$5-SUM($F$2:F115))</f>
        <v/>
      </c>
    </row>
    <row r="116" spans="4:7" x14ac:dyDescent="0.25">
      <c r="D116" t="str">
        <f ca="1">IF(SUM($D$2:D115)&gt;$B$4,"",D115+_xll.RiskExpon($B$3))</f>
        <v/>
      </c>
      <c r="E116" t="str">
        <f t="shared" ca="1" si="1"/>
        <v/>
      </c>
      <c r="F116" t="str">
        <f ca="1">IF(E116="","",_xll.RiskGamma($B$1,$B$2))</f>
        <v/>
      </c>
      <c r="G116" t="str">
        <f ca="1">IF(F116="","",$B$6+C116*$B$5-SUM($F$2:F116))</f>
        <v/>
      </c>
    </row>
    <row r="117" spans="4:7" x14ac:dyDescent="0.25">
      <c r="D117" t="str">
        <f ca="1">IF(SUM($D$2:D116)&gt;$B$4,"",D116+_xll.RiskExpon($B$3))</f>
        <v/>
      </c>
      <c r="E117" t="str">
        <f t="shared" ca="1" si="1"/>
        <v/>
      </c>
      <c r="F117" t="str">
        <f ca="1">IF(E117="","",_xll.RiskGamma($B$1,$B$2))</f>
        <v/>
      </c>
      <c r="G117" t="str">
        <f ca="1">IF(F117="","",$B$6+C117*$B$5-SUM($F$2:F117))</f>
        <v/>
      </c>
    </row>
    <row r="118" spans="4:7" x14ac:dyDescent="0.25">
      <c r="D118" t="str">
        <f ca="1">IF(SUM($D$2:D117)&gt;$B$4,"",D117+_xll.RiskExpon($B$3))</f>
        <v/>
      </c>
      <c r="E118" t="str">
        <f t="shared" ca="1" si="1"/>
        <v/>
      </c>
      <c r="F118" t="str">
        <f ca="1">IF(E118="","",_xll.RiskGamma($B$1,$B$2))</f>
        <v/>
      </c>
      <c r="G118" t="str">
        <f ca="1">IF(F118="","",$B$6+C118*$B$5-SUM($F$2:F118))</f>
        <v/>
      </c>
    </row>
    <row r="119" spans="4:7" x14ac:dyDescent="0.25">
      <c r="D119" t="str">
        <f ca="1">IF(SUM($D$2:D118)&gt;$B$4,"",D118+_xll.RiskExpon($B$3))</f>
        <v/>
      </c>
      <c r="E119" t="str">
        <f t="shared" ca="1" si="1"/>
        <v/>
      </c>
      <c r="F119" t="str">
        <f ca="1">IF(E119="","",_xll.RiskGamma($B$1,$B$2))</f>
        <v/>
      </c>
      <c r="G119" t="str">
        <f ca="1">IF(F119="","",$B$6+C119*$B$5-SUM($F$2:F119))</f>
        <v/>
      </c>
    </row>
    <row r="120" spans="4:7" x14ac:dyDescent="0.25">
      <c r="D120" t="str">
        <f ca="1">IF(SUM($D$2:D119)&gt;$B$4,"",D119+_xll.RiskExpon($B$3))</f>
        <v/>
      </c>
      <c r="E120" t="str">
        <f t="shared" ca="1" si="1"/>
        <v/>
      </c>
      <c r="F120" t="str">
        <f ca="1">IF(E120="","",_xll.RiskGamma($B$1,$B$2))</f>
        <v/>
      </c>
      <c r="G120" t="str">
        <f ca="1">IF(F120="","",$B$6+C120*$B$5-SUM($F$2:F120))</f>
        <v/>
      </c>
    </row>
    <row r="121" spans="4:7" x14ac:dyDescent="0.25">
      <c r="D121" t="str">
        <f ca="1">IF(SUM($D$2:D120)&gt;$B$4,"",D120+_xll.RiskExpon($B$3))</f>
        <v/>
      </c>
      <c r="E121" t="str">
        <f t="shared" ca="1" si="1"/>
        <v/>
      </c>
      <c r="F121" t="str">
        <f ca="1">IF(E121="","",_xll.RiskGamma($B$1,$B$2))</f>
        <v/>
      </c>
      <c r="G121" t="str">
        <f ca="1">IF(F121="","",$B$6+C121*$B$5-SUM($F$2:F121))</f>
        <v/>
      </c>
    </row>
    <row r="122" spans="4:7" x14ac:dyDescent="0.25">
      <c r="D122" t="str">
        <f ca="1">IF(SUM($D$2:D121)&gt;$B$4,"",D121+_xll.RiskExpon($B$3))</f>
        <v/>
      </c>
      <c r="E122" t="str">
        <f t="shared" ca="1" si="1"/>
        <v/>
      </c>
      <c r="F122" t="str">
        <f ca="1">IF(E122="","",_xll.RiskGamma($B$1,$B$2))</f>
        <v/>
      </c>
      <c r="G122" t="str">
        <f ca="1">IF(F122="","",$B$6+C122*$B$5-SUM($F$2:F122))</f>
        <v/>
      </c>
    </row>
    <row r="123" spans="4:7" x14ac:dyDescent="0.25">
      <c r="D123" t="str">
        <f ca="1">IF(SUM($D$2:D122)&gt;$B$4,"",D122+_xll.RiskExpon($B$3))</f>
        <v/>
      </c>
      <c r="E123" t="str">
        <f t="shared" ca="1" si="1"/>
        <v/>
      </c>
      <c r="F123" t="str">
        <f ca="1">IF(E123="","",_xll.RiskGamma($B$1,$B$2))</f>
        <v/>
      </c>
      <c r="G123" t="str">
        <f ca="1">IF(F123="","",$B$6+C123*$B$5-SUM($F$2:F123))</f>
        <v/>
      </c>
    </row>
    <row r="124" spans="4:7" x14ac:dyDescent="0.25">
      <c r="D124" t="str">
        <f ca="1">IF(SUM($D$2:D123)&gt;$B$4,"",D123+_xll.RiskExpon($B$3))</f>
        <v/>
      </c>
      <c r="E124" t="str">
        <f t="shared" ca="1" si="1"/>
        <v/>
      </c>
      <c r="F124" t="str">
        <f ca="1">IF(E124="","",_xll.RiskGamma($B$1,$B$2))</f>
        <v/>
      </c>
      <c r="G124" t="str">
        <f ca="1">IF(F124="","",$B$6+C124*$B$5-SUM($F$2:F124))</f>
        <v/>
      </c>
    </row>
    <row r="125" spans="4:7" x14ac:dyDescent="0.25">
      <c r="D125" t="str">
        <f ca="1">IF(SUM($D$2:D124)&gt;$B$4,"",D124+_xll.RiskExpon($B$3))</f>
        <v/>
      </c>
      <c r="E125" t="str">
        <f t="shared" ca="1" si="1"/>
        <v/>
      </c>
      <c r="F125" t="str">
        <f ca="1">IF(E125="","",_xll.RiskGamma($B$1,$B$2))</f>
        <v/>
      </c>
      <c r="G125" t="str">
        <f ca="1">IF(F125="","",$B$6+C125*$B$5-SUM($F$2:F125))</f>
        <v/>
      </c>
    </row>
    <row r="126" spans="4:7" x14ac:dyDescent="0.25">
      <c r="D126" t="str">
        <f ca="1">IF(SUM($D$2:D125)&gt;$B$4,"",D125+_xll.RiskExpon($B$3))</f>
        <v/>
      </c>
      <c r="E126" t="str">
        <f t="shared" ca="1" si="1"/>
        <v/>
      </c>
      <c r="F126" t="str">
        <f ca="1">IF(E126="","",_xll.RiskGamma($B$1,$B$2))</f>
        <v/>
      </c>
      <c r="G126" t="str">
        <f ca="1">IF(F126="","",$B$6+C126*$B$5-SUM($F$2:F126))</f>
        <v/>
      </c>
    </row>
    <row r="127" spans="4:7" x14ac:dyDescent="0.25">
      <c r="D127" t="str">
        <f ca="1">IF(SUM($D$2:D126)&gt;$B$4,"",D126+_xll.RiskExpon($B$3))</f>
        <v/>
      </c>
      <c r="E127" t="str">
        <f t="shared" ca="1" si="1"/>
        <v/>
      </c>
      <c r="F127" t="str">
        <f ca="1">IF(E127="","",_xll.RiskGamma($B$1,$B$2))</f>
        <v/>
      </c>
      <c r="G127" t="str">
        <f ca="1">IF(F127="","",$B$6+C127*$B$5-SUM($F$2:F127))</f>
        <v/>
      </c>
    </row>
    <row r="128" spans="4:7" x14ac:dyDescent="0.25">
      <c r="D128" t="str">
        <f ca="1">IF(SUM($D$2:D127)&gt;$B$4,"",D127+_xll.RiskExpon($B$3))</f>
        <v/>
      </c>
      <c r="E128" t="str">
        <f t="shared" ca="1" si="1"/>
        <v/>
      </c>
      <c r="F128" t="str">
        <f ca="1">IF(E128="","",_xll.RiskGamma($B$1,$B$2))</f>
        <v/>
      </c>
      <c r="G128" t="str">
        <f ca="1">IF(F128="","",$B$6+C128*$B$5-SUM($F$2:F128))</f>
        <v/>
      </c>
    </row>
    <row r="129" spans="4:7" x14ac:dyDescent="0.25">
      <c r="D129" t="str">
        <f ca="1">IF(SUM($D$2:D128)&gt;$B$4,"",D128+_xll.RiskExpon($B$3))</f>
        <v/>
      </c>
      <c r="E129" t="str">
        <f t="shared" ca="1" si="1"/>
        <v/>
      </c>
      <c r="F129" t="str">
        <f ca="1">IF(E129="","",_xll.RiskGamma($B$1,$B$2))</f>
        <v/>
      </c>
      <c r="G129" t="str">
        <f ca="1">IF(F129="","",$B$6+C129*$B$5-SUM($F$2:F129))</f>
        <v/>
      </c>
    </row>
    <row r="130" spans="4:7" x14ac:dyDescent="0.25">
      <c r="D130" t="str">
        <f ca="1">IF(SUM($D$2:D129)&gt;$B$4,"",D129+_xll.RiskExpon($B$3))</f>
        <v/>
      </c>
      <c r="E130" t="str">
        <f t="shared" ca="1" si="1"/>
        <v/>
      </c>
      <c r="F130" t="str">
        <f ca="1">IF(E130="","",_xll.RiskGamma($B$1,$B$2))</f>
        <v/>
      </c>
      <c r="G130" t="str">
        <f ca="1">IF(F130="","",$B$6+C130*$B$5-SUM($F$2:F130))</f>
        <v/>
      </c>
    </row>
    <row r="131" spans="4:7" x14ac:dyDescent="0.25">
      <c r="D131" t="str">
        <f ca="1">IF(SUM($D$2:D130)&gt;$B$4,"",D130+_xll.RiskExpon($B$3))</f>
        <v/>
      </c>
      <c r="E131" t="str">
        <f t="shared" ca="1" si="1"/>
        <v/>
      </c>
      <c r="F131" t="str">
        <f ca="1">IF(E131="","",_xll.RiskGamma($B$1,$B$2))</f>
        <v/>
      </c>
      <c r="G131" t="str">
        <f ca="1">IF(F131="","",$B$6+C131*$B$5-SUM($F$2:F131))</f>
        <v/>
      </c>
    </row>
    <row r="132" spans="4:7" x14ac:dyDescent="0.25">
      <c r="D132" t="str">
        <f ca="1">IF(SUM($D$2:D131)&gt;$B$4,"",D131+_xll.RiskExpon($B$3))</f>
        <v/>
      </c>
      <c r="E132" t="str">
        <f t="shared" ref="E132:E195" ca="1" si="2">IF(E131&lt;$B$7,E131+1,"")</f>
        <v/>
      </c>
      <c r="F132" t="str">
        <f ca="1">IF(E132="","",_xll.RiskGamma($B$1,$B$2))</f>
        <v/>
      </c>
      <c r="G132" t="str">
        <f ca="1">IF(F132="","",$B$6+C132*$B$5-SUM($F$2:F132))</f>
        <v/>
      </c>
    </row>
    <row r="133" spans="4:7" x14ac:dyDescent="0.25">
      <c r="D133" t="str">
        <f ca="1">IF(SUM($D$2:D132)&gt;$B$4,"",D132+_xll.RiskExpon($B$3))</f>
        <v/>
      </c>
      <c r="E133" t="str">
        <f t="shared" ca="1" si="2"/>
        <v/>
      </c>
      <c r="F133" t="str">
        <f ca="1">IF(E133="","",_xll.RiskGamma($B$1,$B$2))</f>
        <v/>
      </c>
      <c r="G133" t="str">
        <f ca="1">IF(F133="","",$B$6+C133*$B$5-SUM($F$2:F133))</f>
        <v/>
      </c>
    </row>
    <row r="134" spans="4:7" x14ac:dyDescent="0.25">
      <c r="D134" t="str">
        <f ca="1">IF(SUM($D$2:D133)&gt;$B$4,"",D133+_xll.RiskExpon($B$3))</f>
        <v/>
      </c>
      <c r="E134" t="str">
        <f t="shared" ca="1" si="2"/>
        <v/>
      </c>
      <c r="F134" t="str">
        <f ca="1">IF(E134="","",_xll.RiskGamma($B$1,$B$2))</f>
        <v/>
      </c>
      <c r="G134" t="str">
        <f ca="1">IF(F134="","",$B$6+C134*$B$5-SUM($F$2:F134))</f>
        <v/>
      </c>
    </row>
    <row r="135" spans="4:7" x14ac:dyDescent="0.25">
      <c r="D135" t="str">
        <f ca="1">IF(SUM($D$2:D134)&gt;$B$4,"",D134+_xll.RiskExpon($B$3))</f>
        <v/>
      </c>
      <c r="E135" t="str">
        <f t="shared" ca="1" si="2"/>
        <v/>
      </c>
      <c r="F135" t="str">
        <f ca="1">IF(E135="","",_xll.RiskGamma($B$1,$B$2))</f>
        <v/>
      </c>
      <c r="G135" t="str">
        <f ca="1">IF(F135="","",$B$6+C135*$B$5-SUM($F$2:F135))</f>
        <v/>
      </c>
    </row>
    <row r="136" spans="4:7" x14ac:dyDescent="0.25">
      <c r="D136" t="str">
        <f ca="1">IF(SUM($D$2:D135)&gt;$B$4,"",D135+_xll.RiskExpon($B$3))</f>
        <v/>
      </c>
      <c r="E136" t="str">
        <f t="shared" ca="1" si="2"/>
        <v/>
      </c>
      <c r="F136" t="str">
        <f ca="1">IF(E136="","",_xll.RiskGamma($B$1,$B$2))</f>
        <v/>
      </c>
      <c r="G136" t="str">
        <f ca="1">IF(F136="","",$B$6+C136*$B$5-SUM($F$2:F136))</f>
        <v/>
      </c>
    </row>
    <row r="137" spans="4:7" x14ac:dyDescent="0.25">
      <c r="D137" t="str">
        <f ca="1">IF(SUM($D$2:D136)&gt;$B$4,"",D136+_xll.RiskExpon($B$3))</f>
        <v/>
      </c>
      <c r="E137" t="str">
        <f t="shared" ca="1" si="2"/>
        <v/>
      </c>
      <c r="F137" t="str">
        <f ca="1">IF(E137="","",_xll.RiskGamma($B$1,$B$2))</f>
        <v/>
      </c>
      <c r="G137" t="str">
        <f ca="1">IF(F137="","",$B$6+C137*$B$5-SUM($F$2:F137))</f>
        <v/>
      </c>
    </row>
    <row r="138" spans="4:7" x14ac:dyDescent="0.25">
      <c r="D138" t="str">
        <f ca="1">IF(SUM($D$2:D137)&gt;$B$4,"",D137+_xll.RiskExpon($B$3))</f>
        <v/>
      </c>
      <c r="E138" t="str">
        <f t="shared" ca="1" si="2"/>
        <v/>
      </c>
      <c r="F138" t="str">
        <f ca="1">IF(E138="","",_xll.RiskGamma($B$1,$B$2))</f>
        <v/>
      </c>
      <c r="G138" t="str">
        <f ca="1">IF(F138="","",$B$6+C138*$B$5-SUM($F$2:F138))</f>
        <v/>
      </c>
    </row>
    <row r="139" spans="4:7" x14ac:dyDescent="0.25">
      <c r="D139" t="str">
        <f ca="1">IF(SUM($D$2:D138)&gt;$B$4,"",D138+_xll.RiskExpon($B$3))</f>
        <v/>
      </c>
      <c r="E139" t="str">
        <f t="shared" ca="1" si="2"/>
        <v/>
      </c>
      <c r="F139" t="str">
        <f ca="1">IF(E139="","",_xll.RiskGamma($B$1,$B$2))</f>
        <v/>
      </c>
      <c r="G139" t="str">
        <f ca="1">IF(F139="","",$B$6+C139*$B$5-SUM($F$2:F139))</f>
        <v/>
      </c>
    </row>
    <row r="140" spans="4:7" x14ac:dyDescent="0.25">
      <c r="D140" t="str">
        <f ca="1">IF(SUM($D$2:D139)&gt;$B$4,"",D139+_xll.RiskExpon($B$3))</f>
        <v/>
      </c>
      <c r="E140" t="str">
        <f t="shared" ca="1" si="2"/>
        <v/>
      </c>
      <c r="F140" t="str">
        <f ca="1">IF(E140="","",_xll.RiskGamma($B$1,$B$2))</f>
        <v/>
      </c>
      <c r="G140" t="str">
        <f ca="1">IF(F140="","",$B$6+C140*$B$5-SUM($F$2:F140))</f>
        <v/>
      </c>
    </row>
    <row r="141" spans="4:7" x14ac:dyDescent="0.25">
      <c r="D141" t="str">
        <f ca="1">IF(SUM($D$2:D140)&gt;$B$4,"",D140+_xll.RiskExpon($B$3))</f>
        <v/>
      </c>
      <c r="E141" t="str">
        <f t="shared" ca="1" si="2"/>
        <v/>
      </c>
      <c r="F141" t="str">
        <f ca="1">IF(E141="","",_xll.RiskGamma($B$1,$B$2))</f>
        <v/>
      </c>
      <c r="G141" t="str">
        <f ca="1">IF(F141="","",$B$6+C141*$B$5-SUM($F$2:F141))</f>
        <v/>
      </c>
    </row>
    <row r="142" spans="4:7" x14ac:dyDescent="0.25">
      <c r="D142" t="str">
        <f ca="1">IF(SUM($D$2:D141)&gt;$B$4,"",D141+_xll.RiskExpon($B$3))</f>
        <v/>
      </c>
      <c r="E142" t="str">
        <f t="shared" ca="1" si="2"/>
        <v/>
      </c>
      <c r="F142" t="str">
        <f ca="1">IF(E142="","",_xll.RiskGamma($B$1,$B$2))</f>
        <v/>
      </c>
      <c r="G142" t="str">
        <f ca="1">IF(F142="","",$B$6+C142*$B$5-SUM($F$2:F142))</f>
        <v/>
      </c>
    </row>
    <row r="143" spans="4:7" x14ac:dyDescent="0.25">
      <c r="D143" t="str">
        <f ca="1">IF(SUM($D$2:D142)&gt;$B$4,"",D142+_xll.RiskExpon($B$3))</f>
        <v/>
      </c>
      <c r="E143" t="str">
        <f t="shared" ca="1" si="2"/>
        <v/>
      </c>
      <c r="F143" t="str">
        <f ca="1">IF(E143="","",_xll.RiskGamma($B$1,$B$2))</f>
        <v/>
      </c>
      <c r="G143" t="str">
        <f ca="1">IF(F143="","",$B$6+C143*$B$5-SUM($F$2:F143))</f>
        <v/>
      </c>
    </row>
    <row r="144" spans="4:7" x14ac:dyDescent="0.25">
      <c r="D144" t="str">
        <f ca="1">IF(SUM($D$2:D143)&gt;$B$4,"",D143+_xll.RiskExpon($B$3))</f>
        <v/>
      </c>
      <c r="E144" t="str">
        <f t="shared" ca="1" si="2"/>
        <v/>
      </c>
      <c r="F144" t="str">
        <f ca="1">IF(E144="","",_xll.RiskGamma($B$1,$B$2))</f>
        <v/>
      </c>
      <c r="G144" t="str">
        <f ca="1">IF(F144="","",$B$6+C144*$B$5-SUM($F$2:F144))</f>
        <v/>
      </c>
    </row>
    <row r="145" spans="4:7" x14ac:dyDescent="0.25">
      <c r="D145" t="str">
        <f ca="1">IF(SUM($D$2:D144)&gt;$B$4,"",D144+_xll.RiskExpon($B$3))</f>
        <v/>
      </c>
      <c r="E145" t="str">
        <f t="shared" ca="1" si="2"/>
        <v/>
      </c>
      <c r="F145" t="str">
        <f ca="1">IF(E145="","",_xll.RiskGamma($B$1,$B$2))</f>
        <v/>
      </c>
      <c r="G145" t="str">
        <f ca="1">IF(F145="","",$B$6+C145*$B$5-SUM($F$2:F145))</f>
        <v/>
      </c>
    </row>
    <row r="146" spans="4:7" x14ac:dyDescent="0.25">
      <c r="D146" t="str">
        <f ca="1">IF(SUM($D$2:D145)&gt;$B$4,"",D145+_xll.RiskExpon($B$3))</f>
        <v/>
      </c>
      <c r="E146" t="str">
        <f t="shared" ca="1" si="2"/>
        <v/>
      </c>
      <c r="F146" t="str">
        <f ca="1">IF(E146="","",_xll.RiskGamma($B$1,$B$2))</f>
        <v/>
      </c>
      <c r="G146" t="str">
        <f ca="1">IF(F146="","",$B$6+C146*$B$5-SUM($F$2:F146))</f>
        <v/>
      </c>
    </row>
    <row r="147" spans="4:7" x14ac:dyDescent="0.25">
      <c r="D147" t="str">
        <f ca="1">IF(SUM($D$2:D146)&gt;$B$4,"",D146+_xll.RiskExpon($B$3))</f>
        <v/>
      </c>
      <c r="E147" t="str">
        <f t="shared" ca="1" si="2"/>
        <v/>
      </c>
      <c r="F147" t="str">
        <f ca="1">IF(E147="","",_xll.RiskGamma($B$1,$B$2))</f>
        <v/>
      </c>
      <c r="G147" t="str">
        <f ca="1">IF(F147="","",$B$6+C147*$B$5-SUM($F$2:F147))</f>
        <v/>
      </c>
    </row>
    <row r="148" spans="4:7" x14ac:dyDescent="0.25">
      <c r="D148" t="str">
        <f ca="1">IF(SUM($D$2:D147)&gt;$B$4,"",D147+_xll.RiskExpon($B$3))</f>
        <v/>
      </c>
      <c r="E148" t="str">
        <f t="shared" ca="1" si="2"/>
        <v/>
      </c>
      <c r="F148" t="str">
        <f ca="1">IF(E148="","",_xll.RiskGamma($B$1,$B$2))</f>
        <v/>
      </c>
      <c r="G148" t="str">
        <f ca="1">IF(F148="","",$B$6+C148*$B$5-SUM($F$2:F148))</f>
        <v/>
      </c>
    </row>
    <row r="149" spans="4:7" x14ac:dyDescent="0.25">
      <c r="D149" t="str">
        <f ca="1">IF(SUM($D$2:D148)&gt;$B$4,"",D148+_xll.RiskExpon($B$3))</f>
        <v/>
      </c>
      <c r="E149" t="str">
        <f t="shared" ca="1" si="2"/>
        <v/>
      </c>
      <c r="F149" t="str">
        <f ca="1">IF(E149="","",_xll.RiskGamma($B$1,$B$2))</f>
        <v/>
      </c>
      <c r="G149" t="str">
        <f ca="1">IF(F149="","",$B$6+C149*$B$5-SUM($F$2:F149))</f>
        <v/>
      </c>
    </row>
    <row r="150" spans="4:7" x14ac:dyDescent="0.25">
      <c r="D150" t="str">
        <f ca="1">IF(SUM($D$2:D149)&gt;$B$4,"",D149+_xll.RiskExpon($B$3))</f>
        <v/>
      </c>
      <c r="E150" t="str">
        <f t="shared" ca="1" si="2"/>
        <v/>
      </c>
      <c r="F150" t="str">
        <f ca="1">IF(E150="","",_xll.RiskGamma($B$1,$B$2))</f>
        <v/>
      </c>
      <c r="G150" t="str">
        <f ca="1">IF(F150="","",$B$6+C150*$B$5-SUM($F$2:F150))</f>
        <v/>
      </c>
    </row>
    <row r="151" spans="4:7" x14ac:dyDescent="0.25">
      <c r="D151" t="str">
        <f ca="1">IF(SUM($D$2:D150)&gt;$B$4,"",D150+_xll.RiskExpon($B$3))</f>
        <v/>
      </c>
      <c r="E151" t="str">
        <f t="shared" ca="1" si="2"/>
        <v/>
      </c>
      <c r="F151" t="str">
        <f ca="1">IF(E151="","",_xll.RiskGamma($B$1,$B$2))</f>
        <v/>
      </c>
      <c r="G151" t="str">
        <f ca="1">IF(F151="","",$B$6+C151*$B$5-SUM($F$2:F151))</f>
        <v/>
      </c>
    </row>
    <row r="152" spans="4:7" x14ac:dyDescent="0.25">
      <c r="D152" t="str">
        <f ca="1">IF(SUM($D$2:D151)&gt;$B$4,"",D151+_xll.RiskExpon($B$3))</f>
        <v/>
      </c>
      <c r="E152" t="str">
        <f t="shared" ca="1" si="2"/>
        <v/>
      </c>
      <c r="F152" t="str">
        <f ca="1">IF(E152="","",_xll.RiskGamma($B$1,$B$2))</f>
        <v/>
      </c>
      <c r="G152" t="str">
        <f ca="1">IF(F152="","",$B$6+C152*$B$5-SUM($F$2:F152))</f>
        <v/>
      </c>
    </row>
    <row r="153" spans="4:7" x14ac:dyDescent="0.25">
      <c r="D153" t="str">
        <f ca="1">IF(SUM($D$2:D152)&gt;$B$4,"",D152+_xll.RiskExpon($B$3))</f>
        <v/>
      </c>
      <c r="E153" t="str">
        <f t="shared" ca="1" si="2"/>
        <v/>
      </c>
      <c r="F153" t="str">
        <f ca="1">IF(E153="","",_xll.RiskGamma($B$1,$B$2))</f>
        <v/>
      </c>
      <c r="G153" t="str">
        <f ca="1">IF(F153="","",$B$6+C153*$B$5-SUM($F$2:F153))</f>
        <v/>
      </c>
    </row>
    <row r="154" spans="4:7" x14ac:dyDescent="0.25">
      <c r="D154" t="str">
        <f ca="1">IF(SUM($D$2:D153)&gt;$B$4,"",D153+_xll.RiskExpon($B$3))</f>
        <v/>
      </c>
      <c r="E154" t="str">
        <f t="shared" ca="1" si="2"/>
        <v/>
      </c>
      <c r="F154" t="str">
        <f ca="1">IF(E154="","",_xll.RiskGamma($B$1,$B$2))</f>
        <v/>
      </c>
      <c r="G154" t="str">
        <f ca="1">IF(F154="","",$B$6+C154*$B$5-SUM($F$2:F154))</f>
        <v/>
      </c>
    </row>
    <row r="155" spans="4:7" x14ac:dyDescent="0.25">
      <c r="D155" t="str">
        <f ca="1">IF(SUM($D$2:D154)&gt;$B$4,"",D154+_xll.RiskExpon($B$3))</f>
        <v/>
      </c>
      <c r="E155" t="str">
        <f t="shared" ca="1" si="2"/>
        <v/>
      </c>
      <c r="F155" t="str">
        <f ca="1">IF(E155="","",_xll.RiskGamma($B$1,$B$2))</f>
        <v/>
      </c>
      <c r="G155" t="str">
        <f ca="1">IF(F155="","",$B$6+C155*$B$5-SUM($F$2:F155))</f>
        <v/>
      </c>
    </row>
    <row r="156" spans="4:7" x14ac:dyDescent="0.25">
      <c r="D156" t="str">
        <f ca="1">IF(SUM($D$2:D155)&gt;$B$4,"",D155+_xll.RiskExpon($B$3))</f>
        <v/>
      </c>
      <c r="E156" t="str">
        <f t="shared" ca="1" si="2"/>
        <v/>
      </c>
      <c r="F156" t="str">
        <f ca="1">IF(E156="","",_xll.RiskGamma($B$1,$B$2))</f>
        <v/>
      </c>
      <c r="G156" t="str">
        <f ca="1">IF(F156="","",$B$6+C156*$B$5-SUM($F$2:F156))</f>
        <v/>
      </c>
    </row>
    <row r="157" spans="4:7" x14ac:dyDescent="0.25">
      <c r="D157" t="str">
        <f ca="1">IF(SUM($D$2:D156)&gt;$B$4,"",D156+_xll.RiskExpon($B$3))</f>
        <v/>
      </c>
      <c r="E157" t="str">
        <f t="shared" ca="1" si="2"/>
        <v/>
      </c>
      <c r="F157" t="str">
        <f ca="1">IF(E157="","",_xll.RiskGamma($B$1,$B$2))</f>
        <v/>
      </c>
      <c r="G157" t="str">
        <f ca="1">IF(F157="","",$B$6+C157*$B$5-SUM($F$2:F157))</f>
        <v/>
      </c>
    </row>
    <row r="158" spans="4:7" x14ac:dyDescent="0.25">
      <c r="D158" t="str">
        <f ca="1">IF(SUM($D$2:D157)&gt;$B$4,"",D157+_xll.RiskExpon($B$3))</f>
        <v/>
      </c>
      <c r="E158" t="str">
        <f t="shared" ca="1" si="2"/>
        <v/>
      </c>
      <c r="F158" t="str">
        <f ca="1">IF(E158="","",_xll.RiskGamma($B$1,$B$2))</f>
        <v/>
      </c>
      <c r="G158" t="str">
        <f ca="1">IF(F158="","",$B$6+C158*$B$5-SUM($F$2:F158))</f>
        <v/>
      </c>
    </row>
    <row r="159" spans="4:7" x14ac:dyDescent="0.25">
      <c r="D159" t="str">
        <f ca="1">IF(SUM($D$2:D158)&gt;$B$4,"",D158+_xll.RiskExpon($B$3))</f>
        <v/>
      </c>
      <c r="E159" t="str">
        <f t="shared" ca="1" si="2"/>
        <v/>
      </c>
      <c r="F159" t="str">
        <f ca="1">IF(E159="","",_xll.RiskGamma($B$1,$B$2))</f>
        <v/>
      </c>
      <c r="G159" t="str">
        <f ca="1">IF(F159="","",$B$6+C159*$B$5-SUM($F$2:F159))</f>
        <v/>
      </c>
    </row>
    <row r="160" spans="4:7" x14ac:dyDescent="0.25">
      <c r="D160" t="str">
        <f ca="1">IF(SUM($D$2:D159)&gt;$B$4,"",D159+_xll.RiskExpon($B$3))</f>
        <v/>
      </c>
      <c r="E160" t="str">
        <f t="shared" ca="1" si="2"/>
        <v/>
      </c>
      <c r="F160" t="str">
        <f ca="1">IF(E160="","",_xll.RiskGamma($B$1,$B$2))</f>
        <v/>
      </c>
      <c r="G160" t="str">
        <f ca="1">IF(F160="","",$B$6+C160*$B$5-SUM($F$2:F160))</f>
        <v/>
      </c>
    </row>
    <row r="161" spans="4:7" x14ac:dyDescent="0.25">
      <c r="D161" t="str">
        <f ca="1">IF(SUM($D$2:D160)&gt;$B$4,"",D160+_xll.RiskExpon($B$3))</f>
        <v/>
      </c>
      <c r="E161" t="str">
        <f t="shared" ca="1" si="2"/>
        <v/>
      </c>
      <c r="F161" t="str">
        <f ca="1">IF(E161="","",_xll.RiskGamma($B$1,$B$2))</f>
        <v/>
      </c>
      <c r="G161" t="str">
        <f ca="1">IF(F161="","",$B$6+C161*$B$5-SUM($F$2:F161))</f>
        <v/>
      </c>
    </row>
    <row r="162" spans="4:7" x14ac:dyDescent="0.25">
      <c r="D162" t="str">
        <f ca="1">IF(SUM($D$2:D161)&gt;$B$4,"",D161+_xll.RiskExpon($B$3))</f>
        <v/>
      </c>
      <c r="E162" t="str">
        <f t="shared" ca="1" si="2"/>
        <v/>
      </c>
      <c r="F162" t="str">
        <f ca="1">IF(E162="","",_xll.RiskGamma($B$1,$B$2))</f>
        <v/>
      </c>
      <c r="G162" t="str">
        <f ca="1">IF(F162="","",$B$6+C162*$B$5-SUM($F$2:F162))</f>
        <v/>
      </c>
    </row>
    <row r="163" spans="4:7" x14ac:dyDescent="0.25">
      <c r="D163" t="str">
        <f ca="1">IF(SUM($D$2:D162)&gt;$B$4,"",D162+_xll.RiskExpon($B$3))</f>
        <v/>
      </c>
      <c r="E163" t="str">
        <f t="shared" ca="1" si="2"/>
        <v/>
      </c>
      <c r="F163" t="str">
        <f ca="1">IF(E163="","",_xll.RiskGamma($B$1,$B$2))</f>
        <v/>
      </c>
      <c r="G163" t="str">
        <f ca="1">IF(F163="","",$B$6+C163*$B$5-SUM($F$2:F163))</f>
        <v/>
      </c>
    </row>
    <row r="164" spans="4:7" x14ac:dyDescent="0.25">
      <c r="D164" t="str">
        <f ca="1">IF(SUM($D$2:D163)&gt;$B$4,"",D163+_xll.RiskExpon($B$3))</f>
        <v/>
      </c>
      <c r="E164" t="str">
        <f t="shared" ca="1" si="2"/>
        <v/>
      </c>
      <c r="F164" t="str">
        <f ca="1">IF(E164="","",_xll.RiskGamma($B$1,$B$2))</f>
        <v/>
      </c>
      <c r="G164" t="str">
        <f ca="1">IF(F164="","",$B$6+C164*$B$5-SUM($F$2:F164))</f>
        <v/>
      </c>
    </row>
    <row r="165" spans="4:7" x14ac:dyDescent="0.25">
      <c r="D165" t="str">
        <f ca="1">IF(SUM($D$2:D164)&gt;$B$4,"",D164+_xll.RiskExpon($B$3))</f>
        <v/>
      </c>
      <c r="E165" t="str">
        <f t="shared" ca="1" si="2"/>
        <v/>
      </c>
      <c r="F165" t="str">
        <f ca="1">IF(E165="","",_xll.RiskGamma($B$1,$B$2))</f>
        <v/>
      </c>
      <c r="G165" t="str">
        <f ca="1">IF(F165="","",$B$6+C165*$B$5-SUM($F$2:F165))</f>
        <v/>
      </c>
    </row>
    <row r="166" spans="4:7" x14ac:dyDescent="0.25">
      <c r="D166" t="str">
        <f ca="1">IF(SUM($D$2:D165)&gt;$B$4,"",D165+_xll.RiskExpon($B$3))</f>
        <v/>
      </c>
      <c r="E166" t="str">
        <f t="shared" ca="1" si="2"/>
        <v/>
      </c>
      <c r="F166" t="str">
        <f ca="1">IF(E166="","",_xll.RiskGamma($B$1,$B$2))</f>
        <v/>
      </c>
      <c r="G166" t="str">
        <f ca="1">IF(F166="","",$B$6+C166*$B$5-SUM($F$2:F166))</f>
        <v/>
      </c>
    </row>
    <row r="167" spans="4:7" x14ac:dyDescent="0.25">
      <c r="D167" t="str">
        <f ca="1">IF(SUM($D$2:D166)&gt;$B$4,"",D166+_xll.RiskExpon($B$3))</f>
        <v/>
      </c>
      <c r="E167" t="str">
        <f t="shared" ca="1" si="2"/>
        <v/>
      </c>
      <c r="F167" t="str">
        <f ca="1">IF(E167="","",_xll.RiskGamma($B$1,$B$2))</f>
        <v/>
      </c>
      <c r="G167" t="str">
        <f ca="1">IF(F167="","",$B$6+C167*$B$5-SUM($F$2:F167))</f>
        <v/>
      </c>
    </row>
    <row r="168" spans="4:7" x14ac:dyDescent="0.25">
      <c r="D168" t="str">
        <f ca="1">IF(SUM($D$2:D167)&gt;$B$4,"",D167+_xll.RiskExpon($B$3))</f>
        <v/>
      </c>
      <c r="E168" t="str">
        <f t="shared" ca="1" si="2"/>
        <v/>
      </c>
      <c r="F168" t="str">
        <f ca="1">IF(E168="","",_xll.RiskGamma($B$1,$B$2))</f>
        <v/>
      </c>
      <c r="G168" t="str">
        <f ca="1">IF(F168="","",$B$6+C168*$B$5-SUM($F$2:F168))</f>
        <v/>
      </c>
    </row>
    <row r="169" spans="4:7" x14ac:dyDescent="0.25">
      <c r="D169" t="str">
        <f ca="1">IF(SUM($D$2:D168)&gt;$B$4,"",D168+_xll.RiskExpon($B$3))</f>
        <v/>
      </c>
      <c r="E169" t="str">
        <f t="shared" ca="1" si="2"/>
        <v/>
      </c>
      <c r="F169" t="str">
        <f ca="1">IF(E169="","",_xll.RiskGamma($B$1,$B$2))</f>
        <v/>
      </c>
      <c r="G169" t="str">
        <f ca="1">IF(F169="","",$B$6+C169*$B$5-SUM($F$2:F169))</f>
        <v/>
      </c>
    </row>
    <row r="170" spans="4:7" x14ac:dyDescent="0.25">
      <c r="D170" t="str">
        <f ca="1">IF(SUM($D$2:D169)&gt;$B$4,"",D169+_xll.RiskExpon($B$3))</f>
        <v/>
      </c>
      <c r="E170" t="str">
        <f t="shared" ca="1" si="2"/>
        <v/>
      </c>
      <c r="F170" t="str">
        <f ca="1">IF(E170="","",_xll.RiskGamma($B$1,$B$2))</f>
        <v/>
      </c>
      <c r="G170" t="str">
        <f ca="1">IF(F170="","",$B$6+C170*$B$5-SUM($F$2:F170))</f>
        <v/>
      </c>
    </row>
    <row r="171" spans="4:7" x14ac:dyDescent="0.25">
      <c r="D171" t="str">
        <f ca="1">IF(SUM($D$2:D170)&gt;$B$4,"",D170+_xll.RiskExpon($B$3))</f>
        <v/>
      </c>
      <c r="E171" t="str">
        <f t="shared" ca="1" si="2"/>
        <v/>
      </c>
      <c r="F171" t="str">
        <f ca="1">IF(E171="","",_xll.RiskGamma($B$1,$B$2))</f>
        <v/>
      </c>
      <c r="G171" t="str">
        <f ca="1">IF(F171="","",$B$6+C171*$B$5-SUM($F$2:F171))</f>
        <v/>
      </c>
    </row>
    <row r="172" spans="4:7" x14ac:dyDescent="0.25">
      <c r="D172" t="str">
        <f ca="1">IF(SUM($D$2:D171)&gt;$B$4,"",D171+_xll.RiskExpon($B$3))</f>
        <v/>
      </c>
      <c r="E172" t="str">
        <f t="shared" ca="1" si="2"/>
        <v/>
      </c>
      <c r="F172" t="str">
        <f ca="1">IF(E172="","",_xll.RiskGamma($B$1,$B$2))</f>
        <v/>
      </c>
      <c r="G172" t="str">
        <f ca="1">IF(F172="","",$B$6+C172*$B$5-SUM($F$2:F172))</f>
        <v/>
      </c>
    </row>
    <row r="173" spans="4:7" x14ac:dyDescent="0.25">
      <c r="D173" t="str">
        <f ca="1">IF(SUM($D$2:D172)&gt;$B$4,"",D172+_xll.RiskExpon($B$3))</f>
        <v/>
      </c>
      <c r="E173" t="str">
        <f t="shared" ca="1" si="2"/>
        <v/>
      </c>
      <c r="F173" t="str">
        <f ca="1">IF(E173="","",_xll.RiskGamma($B$1,$B$2))</f>
        <v/>
      </c>
      <c r="G173" t="str">
        <f ca="1">IF(F173="","",$B$6+C173*$B$5-SUM($F$2:F173))</f>
        <v/>
      </c>
    </row>
    <row r="174" spans="4:7" x14ac:dyDescent="0.25">
      <c r="D174" t="str">
        <f ca="1">IF(SUM($D$2:D173)&gt;$B$4,"",D173+_xll.RiskExpon($B$3))</f>
        <v/>
      </c>
      <c r="E174" t="str">
        <f t="shared" ca="1" si="2"/>
        <v/>
      </c>
      <c r="F174" t="str">
        <f ca="1">IF(E174="","",_xll.RiskGamma($B$1,$B$2))</f>
        <v/>
      </c>
      <c r="G174" t="str">
        <f ca="1">IF(F174="","",$B$6+C174*$B$5-SUM($F$2:F174))</f>
        <v/>
      </c>
    </row>
    <row r="175" spans="4:7" x14ac:dyDescent="0.25">
      <c r="D175" t="str">
        <f ca="1">IF(SUM($D$2:D174)&gt;$B$4,"",D174+_xll.RiskExpon($B$3))</f>
        <v/>
      </c>
      <c r="E175" t="str">
        <f t="shared" ca="1" si="2"/>
        <v/>
      </c>
      <c r="F175" t="str">
        <f ca="1">IF(E175="","",_xll.RiskGamma($B$1,$B$2))</f>
        <v/>
      </c>
      <c r="G175" t="str">
        <f ca="1">IF(F175="","",$B$6+C175*$B$5-SUM($F$2:F175))</f>
        <v/>
      </c>
    </row>
    <row r="176" spans="4:7" x14ac:dyDescent="0.25">
      <c r="D176" t="str">
        <f ca="1">IF(SUM($D$2:D175)&gt;$B$4,"",D175+_xll.RiskExpon($B$3))</f>
        <v/>
      </c>
      <c r="E176" t="str">
        <f t="shared" ca="1" si="2"/>
        <v/>
      </c>
      <c r="F176" t="str">
        <f ca="1">IF(E176="","",_xll.RiskGamma($B$1,$B$2))</f>
        <v/>
      </c>
      <c r="G176" t="str">
        <f ca="1">IF(F176="","",$B$6+C176*$B$5-SUM($F$2:F176))</f>
        <v/>
      </c>
    </row>
    <row r="177" spans="4:7" x14ac:dyDescent="0.25">
      <c r="D177" t="str">
        <f ca="1">IF(SUM($D$2:D176)&gt;$B$4,"",D176+_xll.RiskExpon($B$3))</f>
        <v/>
      </c>
      <c r="E177" t="str">
        <f t="shared" ca="1" si="2"/>
        <v/>
      </c>
      <c r="F177" t="str">
        <f ca="1">IF(E177="","",_xll.RiskGamma($B$1,$B$2))</f>
        <v/>
      </c>
      <c r="G177" t="str">
        <f ca="1">IF(F177="","",$B$6+C177*$B$5-SUM($F$2:F177))</f>
        <v/>
      </c>
    </row>
    <row r="178" spans="4:7" x14ac:dyDescent="0.25">
      <c r="D178" t="str">
        <f ca="1">IF(SUM($D$2:D177)&gt;$B$4,"",D177+_xll.RiskExpon($B$3))</f>
        <v/>
      </c>
      <c r="E178" t="str">
        <f t="shared" ca="1" si="2"/>
        <v/>
      </c>
      <c r="F178" t="str">
        <f ca="1">IF(E178="","",_xll.RiskGamma($B$1,$B$2))</f>
        <v/>
      </c>
      <c r="G178" t="str">
        <f ca="1">IF(F178="","",$B$6+C178*$B$5-SUM($F$2:F178))</f>
        <v/>
      </c>
    </row>
    <row r="179" spans="4:7" x14ac:dyDescent="0.25">
      <c r="D179" t="str">
        <f ca="1">IF(SUM($D$2:D178)&gt;$B$4,"",D178+_xll.RiskExpon($B$3))</f>
        <v/>
      </c>
      <c r="E179" t="str">
        <f t="shared" ca="1" si="2"/>
        <v/>
      </c>
      <c r="F179" t="str">
        <f ca="1">IF(E179="","",_xll.RiskGamma($B$1,$B$2))</f>
        <v/>
      </c>
      <c r="G179" t="str">
        <f ca="1">IF(F179="","",$B$6+C179*$B$5-SUM($F$2:F179))</f>
        <v/>
      </c>
    </row>
    <row r="180" spans="4:7" x14ac:dyDescent="0.25">
      <c r="D180" t="str">
        <f ca="1">IF(SUM($D$2:D179)&gt;$B$4,"",D179+_xll.RiskExpon($B$3))</f>
        <v/>
      </c>
      <c r="E180" t="str">
        <f t="shared" ca="1" si="2"/>
        <v/>
      </c>
      <c r="F180" t="str">
        <f ca="1">IF(E180="","",_xll.RiskGamma($B$1,$B$2))</f>
        <v/>
      </c>
      <c r="G180" t="str">
        <f ca="1">IF(F180="","",$B$6+C180*$B$5-SUM($F$2:F180))</f>
        <v/>
      </c>
    </row>
    <row r="181" spans="4:7" x14ac:dyDescent="0.25">
      <c r="D181" t="str">
        <f ca="1">IF(SUM($D$2:D180)&gt;$B$4,"",D180+_xll.RiskExpon($B$3))</f>
        <v/>
      </c>
      <c r="E181" t="str">
        <f t="shared" ca="1" si="2"/>
        <v/>
      </c>
      <c r="F181" t="str">
        <f ca="1">IF(E181="","",_xll.RiskGamma($B$1,$B$2))</f>
        <v/>
      </c>
      <c r="G181" t="str">
        <f ca="1">IF(F181="","",$B$6+C181*$B$5-SUM($F$2:F181))</f>
        <v/>
      </c>
    </row>
    <row r="182" spans="4:7" x14ac:dyDescent="0.25">
      <c r="D182" t="str">
        <f ca="1">IF(SUM($D$2:D181)&gt;$B$4,"",D181+_xll.RiskExpon($B$3))</f>
        <v/>
      </c>
      <c r="E182" t="str">
        <f t="shared" ca="1" si="2"/>
        <v/>
      </c>
      <c r="F182" t="str">
        <f ca="1">IF(E182="","",_xll.RiskGamma($B$1,$B$2))</f>
        <v/>
      </c>
      <c r="G182" t="str">
        <f ca="1">IF(F182="","",$B$6+C182*$B$5-SUM($F$2:F182))</f>
        <v/>
      </c>
    </row>
    <row r="183" spans="4:7" x14ac:dyDescent="0.25">
      <c r="D183" t="str">
        <f ca="1">IF(SUM($D$2:D182)&gt;$B$4,"",D182+_xll.RiskExpon($B$3))</f>
        <v/>
      </c>
      <c r="E183" t="str">
        <f t="shared" ca="1" si="2"/>
        <v/>
      </c>
      <c r="F183" t="str">
        <f ca="1">IF(E183="","",_xll.RiskGamma($B$1,$B$2))</f>
        <v/>
      </c>
      <c r="G183" t="str">
        <f ca="1">IF(F183="","",$B$6+C183*$B$5-SUM($F$2:F183))</f>
        <v/>
      </c>
    </row>
    <row r="184" spans="4:7" x14ac:dyDescent="0.25">
      <c r="D184" t="str">
        <f ca="1">IF(SUM($D$2:D183)&gt;$B$4,"",D183+_xll.RiskExpon($B$3))</f>
        <v/>
      </c>
      <c r="E184" t="str">
        <f t="shared" ca="1" si="2"/>
        <v/>
      </c>
      <c r="F184" t="str">
        <f ca="1">IF(E184="","",_xll.RiskGamma($B$1,$B$2))</f>
        <v/>
      </c>
      <c r="G184" t="str">
        <f ca="1">IF(F184="","",$B$6+C184*$B$5-SUM($F$2:F184))</f>
        <v/>
      </c>
    </row>
    <row r="185" spans="4:7" x14ac:dyDescent="0.25">
      <c r="D185" t="str">
        <f ca="1">IF(SUM($D$2:D184)&gt;$B$4,"",D184+_xll.RiskExpon($B$3))</f>
        <v/>
      </c>
      <c r="E185" t="str">
        <f t="shared" ca="1" si="2"/>
        <v/>
      </c>
      <c r="F185" t="str">
        <f ca="1">IF(E185="","",_xll.RiskGamma($B$1,$B$2))</f>
        <v/>
      </c>
      <c r="G185" t="str">
        <f ca="1">IF(F185="","",$B$6+C185*$B$5-SUM($F$2:F185))</f>
        <v/>
      </c>
    </row>
    <row r="186" spans="4:7" x14ac:dyDescent="0.25">
      <c r="D186" t="str">
        <f ca="1">IF(SUM($D$2:D185)&gt;$B$4,"",D185+_xll.RiskExpon($B$3))</f>
        <v/>
      </c>
      <c r="E186" t="str">
        <f t="shared" ca="1" si="2"/>
        <v/>
      </c>
      <c r="F186" t="str">
        <f ca="1">IF(E186="","",_xll.RiskGamma($B$1,$B$2))</f>
        <v/>
      </c>
      <c r="G186" t="str">
        <f ca="1">IF(F186="","",$B$6+C186*$B$5-SUM($F$2:F186))</f>
        <v/>
      </c>
    </row>
    <row r="187" spans="4:7" x14ac:dyDescent="0.25">
      <c r="D187" t="str">
        <f ca="1">IF(SUM($D$2:D186)&gt;$B$4,"",D186+_xll.RiskExpon($B$3))</f>
        <v/>
      </c>
      <c r="E187" t="str">
        <f t="shared" ca="1" si="2"/>
        <v/>
      </c>
      <c r="F187" t="str">
        <f ca="1">IF(E187="","",_xll.RiskGamma($B$1,$B$2))</f>
        <v/>
      </c>
      <c r="G187" t="str">
        <f ca="1">IF(F187="","",$B$6+C187*$B$5-SUM($F$2:F187))</f>
        <v/>
      </c>
    </row>
    <row r="188" spans="4:7" x14ac:dyDescent="0.25">
      <c r="D188" t="str">
        <f ca="1">IF(SUM($D$2:D187)&gt;$B$4,"",D187+_xll.RiskExpon($B$3))</f>
        <v/>
      </c>
      <c r="E188" t="str">
        <f t="shared" ca="1" si="2"/>
        <v/>
      </c>
      <c r="F188" t="str">
        <f ca="1">IF(E188="","",_xll.RiskGamma($B$1,$B$2))</f>
        <v/>
      </c>
      <c r="G188" t="str">
        <f ca="1">IF(F188="","",$B$6+C188*$B$5-SUM($F$2:F188))</f>
        <v/>
      </c>
    </row>
    <row r="189" spans="4:7" x14ac:dyDescent="0.25">
      <c r="D189" t="str">
        <f ca="1">IF(SUM($D$2:D188)&gt;$B$4,"",D188+_xll.RiskExpon($B$3))</f>
        <v/>
      </c>
      <c r="E189" t="str">
        <f t="shared" ca="1" si="2"/>
        <v/>
      </c>
      <c r="F189" t="str">
        <f ca="1">IF(E189="","",_xll.RiskGamma($B$1,$B$2))</f>
        <v/>
      </c>
      <c r="G189" t="str">
        <f ca="1">IF(F189="","",$B$6+C189*$B$5-SUM($F$2:F189))</f>
        <v/>
      </c>
    </row>
    <row r="190" spans="4:7" x14ac:dyDescent="0.25">
      <c r="D190" t="str">
        <f ca="1">IF(SUM($D$2:D189)&gt;$B$4,"",D189+_xll.RiskExpon($B$3))</f>
        <v/>
      </c>
      <c r="E190" t="str">
        <f t="shared" ca="1" si="2"/>
        <v/>
      </c>
      <c r="F190" t="str">
        <f ca="1">IF(E190="","",_xll.RiskGamma($B$1,$B$2))</f>
        <v/>
      </c>
      <c r="G190" t="str">
        <f ca="1">IF(F190="","",$B$6+C190*$B$5-SUM($F$2:F190))</f>
        <v/>
      </c>
    </row>
    <row r="191" spans="4:7" x14ac:dyDescent="0.25">
      <c r="D191" t="str">
        <f ca="1">IF(SUM($D$2:D190)&gt;$B$4,"",D190+_xll.RiskExpon($B$3))</f>
        <v/>
      </c>
      <c r="E191" t="str">
        <f t="shared" ca="1" si="2"/>
        <v/>
      </c>
      <c r="F191" t="str">
        <f ca="1">IF(E191="","",_xll.RiskGamma($B$1,$B$2))</f>
        <v/>
      </c>
      <c r="G191" t="str">
        <f ca="1">IF(F191="","",$B$6+C191*$B$5-SUM($F$2:F191))</f>
        <v/>
      </c>
    </row>
    <row r="192" spans="4:7" x14ac:dyDescent="0.25">
      <c r="D192" t="str">
        <f ca="1">IF(SUM($D$2:D191)&gt;$B$4,"",D191+_xll.RiskExpon($B$3))</f>
        <v/>
      </c>
      <c r="E192" t="str">
        <f t="shared" ca="1" si="2"/>
        <v/>
      </c>
      <c r="F192" t="str">
        <f ca="1">IF(E192="","",_xll.RiskGamma($B$1,$B$2))</f>
        <v/>
      </c>
      <c r="G192" t="str">
        <f ca="1">IF(F192="","",$B$6+C192*$B$5-SUM($F$2:F192))</f>
        <v/>
      </c>
    </row>
    <row r="193" spans="4:7" x14ac:dyDescent="0.25">
      <c r="D193" t="str">
        <f ca="1">IF(SUM($D$2:D192)&gt;$B$4,"",D192+_xll.RiskExpon($B$3))</f>
        <v/>
      </c>
      <c r="E193" t="str">
        <f t="shared" ca="1" si="2"/>
        <v/>
      </c>
      <c r="F193" t="str">
        <f ca="1">IF(E193="","",_xll.RiskGamma($B$1,$B$2))</f>
        <v/>
      </c>
      <c r="G193" t="str">
        <f ca="1">IF(F193="","",$B$6+C193*$B$5-SUM($F$2:F193))</f>
        <v/>
      </c>
    </row>
    <row r="194" spans="4:7" x14ac:dyDescent="0.25">
      <c r="D194" t="str">
        <f ca="1">IF(SUM($D$2:D193)&gt;$B$4,"",D193+_xll.RiskExpon($B$3))</f>
        <v/>
      </c>
      <c r="E194" t="str">
        <f t="shared" ca="1" si="2"/>
        <v/>
      </c>
      <c r="F194" t="str">
        <f ca="1">IF(E194="","",_xll.RiskGamma($B$1,$B$2))</f>
        <v/>
      </c>
      <c r="G194" t="str">
        <f ca="1">IF(F194="","",$B$6+C194*$B$5-SUM($F$2:F194))</f>
        <v/>
      </c>
    </row>
    <row r="195" spans="4:7" x14ac:dyDescent="0.25">
      <c r="D195" t="str">
        <f ca="1">IF(SUM($D$2:D194)&gt;$B$4,"",D194+_xll.RiskExpon($B$3))</f>
        <v/>
      </c>
      <c r="E195" t="str">
        <f t="shared" ca="1" si="2"/>
        <v/>
      </c>
      <c r="F195" t="str">
        <f ca="1">IF(E195="","",_xll.RiskGamma($B$1,$B$2))</f>
        <v/>
      </c>
      <c r="G195" t="str">
        <f ca="1">IF(F195="","",$B$6+C195*$B$5-SUM($F$2:F195))</f>
        <v/>
      </c>
    </row>
    <row r="196" spans="4:7" x14ac:dyDescent="0.25">
      <c r="D196" t="str">
        <f ca="1">IF(SUM($D$2:D195)&gt;$B$4,"",D195+_xll.RiskExpon($B$3))</f>
        <v/>
      </c>
      <c r="E196" t="str">
        <f t="shared" ref="E196:E259" ca="1" si="3">IF(E195&lt;$B$7,E195+1,"")</f>
        <v/>
      </c>
      <c r="F196" t="str">
        <f ca="1">IF(E196="","",_xll.RiskGamma($B$1,$B$2))</f>
        <v/>
      </c>
      <c r="G196" t="str">
        <f ca="1">IF(F196="","",$B$6+C196*$B$5-SUM($F$2:F196))</f>
        <v/>
      </c>
    </row>
    <row r="197" spans="4:7" x14ac:dyDescent="0.25">
      <c r="D197" t="str">
        <f ca="1">IF(SUM($D$2:D196)&gt;$B$4,"",D196+_xll.RiskExpon($B$3))</f>
        <v/>
      </c>
      <c r="E197" t="str">
        <f t="shared" ca="1" si="3"/>
        <v/>
      </c>
      <c r="F197" t="str">
        <f ca="1">IF(E197="","",_xll.RiskGamma($B$1,$B$2))</f>
        <v/>
      </c>
      <c r="G197" t="str">
        <f ca="1">IF(F197="","",$B$6+C197*$B$5-SUM($F$2:F197))</f>
        <v/>
      </c>
    </row>
    <row r="198" spans="4:7" x14ac:dyDescent="0.25">
      <c r="D198" t="str">
        <f ca="1">IF(SUM($D$2:D197)&gt;$B$4,"",D197+_xll.RiskExpon($B$3))</f>
        <v/>
      </c>
      <c r="E198" t="str">
        <f t="shared" ca="1" si="3"/>
        <v/>
      </c>
      <c r="F198" t="str">
        <f ca="1">IF(E198="","",_xll.RiskGamma($B$1,$B$2))</f>
        <v/>
      </c>
      <c r="G198" t="str">
        <f ca="1">IF(F198="","",$B$6+C198*$B$5-SUM($F$2:F198))</f>
        <v/>
      </c>
    </row>
    <row r="199" spans="4:7" x14ac:dyDescent="0.25">
      <c r="D199" t="str">
        <f ca="1">IF(SUM($D$2:D198)&gt;$B$4,"",D198+_xll.RiskExpon($B$3))</f>
        <v/>
      </c>
      <c r="E199" t="str">
        <f t="shared" ca="1" si="3"/>
        <v/>
      </c>
      <c r="F199" t="str">
        <f ca="1">IF(E199="","",_xll.RiskGamma($B$1,$B$2))</f>
        <v/>
      </c>
      <c r="G199" t="str">
        <f ca="1">IF(F199="","",$B$6+C199*$B$5-SUM($F$2:F199))</f>
        <v/>
      </c>
    </row>
    <row r="200" spans="4:7" x14ac:dyDescent="0.25">
      <c r="D200" t="str">
        <f ca="1">IF(SUM($D$2:D199)&gt;$B$4,"",D199+_xll.RiskExpon($B$3))</f>
        <v/>
      </c>
      <c r="E200" t="str">
        <f t="shared" ca="1" si="3"/>
        <v/>
      </c>
      <c r="F200" t="str">
        <f ca="1">IF(E200="","",_xll.RiskGamma($B$1,$B$2))</f>
        <v/>
      </c>
      <c r="G200" t="str">
        <f ca="1">IF(F200="","",$B$6+C200*$B$5-SUM($F$2:F200))</f>
        <v/>
      </c>
    </row>
    <row r="201" spans="4:7" x14ac:dyDescent="0.25">
      <c r="D201" t="str">
        <f ca="1">IF(SUM($D$2:D200)&gt;$B$4,"",D200+_xll.RiskExpon($B$3))</f>
        <v/>
      </c>
      <c r="E201" t="str">
        <f t="shared" ca="1" si="3"/>
        <v/>
      </c>
      <c r="F201" t="str">
        <f ca="1">IF(E201="","",_xll.RiskGamma($B$1,$B$2))</f>
        <v/>
      </c>
      <c r="G201" t="str">
        <f ca="1">IF(F201="","",$B$6+C201*$B$5-SUM($F$2:F201))</f>
        <v/>
      </c>
    </row>
    <row r="202" spans="4:7" x14ac:dyDescent="0.25">
      <c r="D202" t="str">
        <f ca="1">IF(SUM($D$2:D201)&gt;$B$4,"",D201+_xll.RiskExpon($B$3))</f>
        <v/>
      </c>
      <c r="E202" t="str">
        <f t="shared" ca="1" si="3"/>
        <v/>
      </c>
      <c r="F202" t="str">
        <f ca="1">IF(E202="","",_xll.RiskGamma($B$1,$B$2))</f>
        <v/>
      </c>
      <c r="G202" t="str">
        <f ca="1">IF(F202="","",$B$6+C202*$B$5-SUM($F$2:F202))</f>
        <v/>
      </c>
    </row>
    <row r="203" spans="4:7" x14ac:dyDescent="0.25">
      <c r="D203" t="str">
        <f ca="1">IF(SUM($D$2:D202)&gt;$B$4,"",D202+_xll.RiskExpon($B$3))</f>
        <v/>
      </c>
      <c r="E203" t="str">
        <f t="shared" ca="1" si="3"/>
        <v/>
      </c>
      <c r="F203" t="str">
        <f ca="1">IF(E203="","",_xll.RiskGamma($B$1,$B$2))</f>
        <v/>
      </c>
      <c r="G203" t="str">
        <f ca="1">IF(F203="","",$B$6+C203*$B$5-SUM($F$2:F203))</f>
        <v/>
      </c>
    </row>
    <row r="204" spans="4:7" x14ac:dyDescent="0.25">
      <c r="D204" t="str">
        <f ca="1">IF(SUM($D$2:D203)&gt;$B$4,"",D203+_xll.RiskExpon($B$3))</f>
        <v/>
      </c>
      <c r="E204" t="str">
        <f t="shared" ca="1" si="3"/>
        <v/>
      </c>
      <c r="F204" t="str">
        <f ca="1">IF(E204="","",_xll.RiskGamma($B$1,$B$2))</f>
        <v/>
      </c>
      <c r="G204" t="str">
        <f ca="1">IF(F204="","",$B$6+C204*$B$5-SUM($F$2:F204))</f>
        <v/>
      </c>
    </row>
    <row r="205" spans="4:7" x14ac:dyDescent="0.25">
      <c r="D205" t="str">
        <f ca="1">IF(SUM($D$2:D204)&gt;$B$4,"",D204+_xll.RiskExpon($B$3))</f>
        <v/>
      </c>
      <c r="E205" t="str">
        <f t="shared" ca="1" si="3"/>
        <v/>
      </c>
      <c r="F205" t="str">
        <f ca="1">IF(E205="","",_xll.RiskGamma($B$1,$B$2))</f>
        <v/>
      </c>
      <c r="G205" t="str">
        <f ca="1">IF(F205="","",$B$6+C205*$B$5-SUM($F$2:F205))</f>
        <v/>
      </c>
    </row>
    <row r="206" spans="4:7" x14ac:dyDescent="0.25">
      <c r="D206" t="str">
        <f ca="1">IF(SUM($D$2:D205)&gt;$B$4,"",D205+_xll.RiskExpon($B$3))</f>
        <v/>
      </c>
      <c r="E206" t="str">
        <f t="shared" ca="1" si="3"/>
        <v/>
      </c>
      <c r="F206" t="str">
        <f ca="1">IF(E206="","",_xll.RiskGamma($B$1,$B$2))</f>
        <v/>
      </c>
      <c r="G206" t="str">
        <f ca="1">IF(F206="","",$B$6+C206*$B$5-SUM($F$2:F206))</f>
        <v/>
      </c>
    </row>
    <row r="207" spans="4:7" x14ac:dyDescent="0.25">
      <c r="D207" t="str">
        <f ca="1">IF(SUM($D$2:D206)&gt;$B$4,"",D206+_xll.RiskExpon($B$3))</f>
        <v/>
      </c>
      <c r="E207" t="str">
        <f t="shared" ca="1" si="3"/>
        <v/>
      </c>
      <c r="F207" t="str">
        <f ca="1">IF(E207="","",_xll.RiskGamma($B$1,$B$2))</f>
        <v/>
      </c>
      <c r="G207" t="str">
        <f ca="1">IF(F207="","",$B$6+C207*$B$5-SUM($F$2:F207))</f>
        <v/>
      </c>
    </row>
    <row r="208" spans="4:7" x14ac:dyDescent="0.25">
      <c r="D208" t="str">
        <f ca="1">IF(SUM($D$2:D207)&gt;$B$4,"",D207+_xll.RiskExpon($B$3))</f>
        <v/>
      </c>
      <c r="E208" t="str">
        <f t="shared" ca="1" si="3"/>
        <v/>
      </c>
      <c r="F208" t="str">
        <f ca="1">IF(E208="","",_xll.RiskGamma($B$1,$B$2))</f>
        <v/>
      </c>
      <c r="G208" t="str">
        <f ca="1">IF(F208="","",$B$6+C208*$B$5-SUM($F$2:F208))</f>
        <v/>
      </c>
    </row>
    <row r="209" spans="4:7" x14ac:dyDescent="0.25">
      <c r="D209" t="str">
        <f ca="1">IF(SUM($D$2:D208)&gt;$B$4,"",D208+_xll.RiskExpon($B$3))</f>
        <v/>
      </c>
      <c r="E209" t="str">
        <f t="shared" ca="1" si="3"/>
        <v/>
      </c>
      <c r="F209" t="str">
        <f ca="1">IF(E209="","",_xll.RiskGamma($B$1,$B$2))</f>
        <v/>
      </c>
      <c r="G209" t="str">
        <f ca="1">IF(F209="","",$B$6+C209*$B$5-SUM($F$2:F209))</f>
        <v/>
      </c>
    </row>
    <row r="210" spans="4:7" x14ac:dyDescent="0.25">
      <c r="D210" t="str">
        <f ca="1">IF(SUM($D$2:D209)&gt;$B$4,"",D209+_xll.RiskExpon($B$3))</f>
        <v/>
      </c>
      <c r="E210" t="str">
        <f t="shared" ca="1" si="3"/>
        <v/>
      </c>
      <c r="F210" t="str">
        <f ca="1">IF(E210="","",_xll.RiskGamma($B$1,$B$2))</f>
        <v/>
      </c>
      <c r="G210" t="str">
        <f ca="1">IF(F210="","",$B$6+C210*$B$5-SUM($F$2:F210))</f>
        <v/>
      </c>
    </row>
    <row r="211" spans="4:7" x14ac:dyDescent="0.25">
      <c r="D211" t="str">
        <f ca="1">IF(SUM($D$2:D210)&gt;$B$4,"",D210+_xll.RiskExpon($B$3))</f>
        <v/>
      </c>
      <c r="E211" t="str">
        <f t="shared" ca="1" si="3"/>
        <v/>
      </c>
      <c r="F211" t="str">
        <f ca="1">IF(E211="","",_xll.RiskGamma($B$1,$B$2))</f>
        <v/>
      </c>
      <c r="G211" t="str">
        <f ca="1">IF(F211="","",$B$6+C211*$B$5-SUM($F$2:F211))</f>
        <v/>
      </c>
    </row>
    <row r="212" spans="4:7" x14ac:dyDescent="0.25">
      <c r="D212" t="str">
        <f ca="1">IF(SUM($D$2:D211)&gt;$B$4,"",D211+_xll.RiskExpon($B$3))</f>
        <v/>
      </c>
      <c r="E212" t="str">
        <f t="shared" ca="1" si="3"/>
        <v/>
      </c>
      <c r="F212" t="str">
        <f ca="1">IF(E212="","",_xll.RiskGamma($B$1,$B$2))</f>
        <v/>
      </c>
      <c r="G212" t="str">
        <f ca="1">IF(F212="","",$B$6+C212*$B$5-SUM($F$2:F212))</f>
        <v/>
      </c>
    </row>
    <row r="213" spans="4:7" x14ac:dyDescent="0.25">
      <c r="D213" t="str">
        <f ca="1">IF(SUM($D$2:D212)&gt;$B$4,"",D212+_xll.RiskExpon($B$3))</f>
        <v/>
      </c>
      <c r="E213" t="str">
        <f t="shared" ca="1" si="3"/>
        <v/>
      </c>
      <c r="F213" t="str">
        <f ca="1">IF(E213="","",_xll.RiskGamma($B$1,$B$2))</f>
        <v/>
      </c>
      <c r="G213" t="str">
        <f ca="1">IF(F213="","",$B$6+C213*$B$5-SUM($F$2:F213))</f>
        <v/>
      </c>
    </row>
    <row r="214" spans="4:7" x14ac:dyDescent="0.25">
      <c r="D214" t="str">
        <f ca="1">IF(SUM($D$2:D213)&gt;$B$4,"",D213+_xll.RiskExpon($B$3))</f>
        <v/>
      </c>
      <c r="E214" t="str">
        <f t="shared" ca="1" si="3"/>
        <v/>
      </c>
      <c r="F214" t="str">
        <f ca="1">IF(E214="","",_xll.RiskGamma($B$1,$B$2))</f>
        <v/>
      </c>
      <c r="G214" t="str">
        <f ca="1">IF(F214="","",$B$6+C214*$B$5-SUM($F$2:F214))</f>
        <v/>
      </c>
    </row>
    <row r="215" spans="4:7" x14ac:dyDescent="0.25">
      <c r="D215" t="str">
        <f ca="1">IF(SUM($D$2:D214)&gt;$B$4,"",D214+_xll.RiskExpon($B$3))</f>
        <v/>
      </c>
      <c r="E215" t="str">
        <f t="shared" ca="1" si="3"/>
        <v/>
      </c>
      <c r="F215" t="str">
        <f ca="1">IF(E215="","",_xll.RiskGamma($B$1,$B$2))</f>
        <v/>
      </c>
      <c r="G215" t="str">
        <f ca="1">IF(F215="","",$B$6+C215*$B$5-SUM($F$2:F215))</f>
        <v/>
      </c>
    </row>
    <row r="216" spans="4:7" x14ac:dyDescent="0.25">
      <c r="D216" t="str">
        <f ca="1">IF(SUM($D$2:D215)&gt;$B$4,"",D215+_xll.RiskExpon($B$3))</f>
        <v/>
      </c>
      <c r="E216" t="str">
        <f t="shared" ca="1" si="3"/>
        <v/>
      </c>
      <c r="F216" t="str">
        <f ca="1">IF(E216="","",_xll.RiskGamma($B$1,$B$2))</f>
        <v/>
      </c>
      <c r="G216" t="str">
        <f ca="1">IF(F216="","",$B$6+C216*$B$5-SUM($F$2:F216))</f>
        <v/>
      </c>
    </row>
    <row r="217" spans="4:7" x14ac:dyDescent="0.25">
      <c r="D217" t="str">
        <f ca="1">IF(SUM($D$2:D216)&gt;$B$4,"",D216+_xll.RiskExpon($B$3))</f>
        <v/>
      </c>
      <c r="E217" t="str">
        <f t="shared" ca="1" si="3"/>
        <v/>
      </c>
      <c r="F217" t="str">
        <f ca="1">IF(E217="","",_xll.RiskGamma($B$1,$B$2))</f>
        <v/>
      </c>
      <c r="G217" t="str">
        <f ca="1">IF(F217="","",$B$6+C217*$B$5-SUM($F$2:F217))</f>
        <v/>
      </c>
    </row>
    <row r="218" spans="4:7" x14ac:dyDescent="0.25">
      <c r="D218" t="str">
        <f ca="1">IF(SUM($D$2:D217)&gt;$B$4,"",D217+_xll.RiskExpon($B$3))</f>
        <v/>
      </c>
      <c r="E218" t="str">
        <f t="shared" ca="1" si="3"/>
        <v/>
      </c>
      <c r="F218" t="str">
        <f ca="1">IF(E218="","",_xll.RiskGamma($B$1,$B$2))</f>
        <v/>
      </c>
      <c r="G218" t="str">
        <f ca="1">IF(F218="","",$B$6+C218*$B$5-SUM($F$2:F218))</f>
        <v/>
      </c>
    </row>
    <row r="219" spans="4:7" x14ac:dyDescent="0.25">
      <c r="D219" t="str">
        <f ca="1">IF(SUM($D$2:D218)&gt;$B$4,"",D218+_xll.RiskExpon($B$3))</f>
        <v/>
      </c>
      <c r="E219" t="str">
        <f t="shared" ca="1" si="3"/>
        <v/>
      </c>
      <c r="F219" t="str">
        <f ca="1">IF(E219="","",_xll.RiskGamma($B$1,$B$2))</f>
        <v/>
      </c>
      <c r="G219" t="str">
        <f ca="1">IF(F219="","",$B$6+C219*$B$5-SUM($F$2:F219))</f>
        <v/>
      </c>
    </row>
    <row r="220" spans="4:7" x14ac:dyDescent="0.25">
      <c r="D220" t="str">
        <f ca="1">IF(SUM($D$2:D219)&gt;$B$4,"",D219+_xll.RiskExpon($B$3))</f>
        <v/>
      </c>
      <c r="E220" t="str">
        <f t="shared" ca="1" si="3"/>
        <v/>
      </c>
      <c r="F220" t="str">
        <f ca="1">IF(E220="","",_xll.RiskGamma($B$1,$B$2))</f>
        <v/>
      </c>
      <c r="G220" t="str">
        <f ca="1">IF(F220="","",$B$6+C220*$B$5-SUM($F$2:F220))</f>
        <v/>
      </c>
    </row>
    <row r="221" spans="4:7" x14ac:dyDescent="0.25">
      <c r="D221" t="str">
        <f ca="1">IF(SUM($D$2:D220)&gt;$B$4,"",D220+_xll.RiskExpon($B$3))</f>
        <v/>
      </c>
      <c r="E221" t="str">
        <f t="shared" ca="1" si="3"/>
        <v/>
      </c>
      <c r="F221" t="str">
        <f ca="1">IF(E221="","",_xll.RiskGamma($B$1,$B$2))</f>
        <v/>
      </c>
      <c r="G221" t="str">
        <f ca="1">IF(F221="","",$B$6+C221*$B$5-SUM($F$2:F221))</f>
        <v/>
      </c>
    </row>
    <row r="222" spans="4:7" x14ac:dyDescent="0.25">
      <c r="D222" t="str">
        <f ca="1">IF(SUM($D$2:D221)&gt;$B$4,"",D221+_xll.RiskExpon($B$3))</f>
        <v/>
      </c>
      <c r="E222" t="str">
        <f t="shared" ca="1" si="3"/>
        <v/>
      </c>
      <c r="F222" t="str">
        <f ca="1">IF(E222="","",_xll.RiskGamma($B$1,$B$2))</f>
        <v/>
      </c>
      <c r="G222" t="str">
        <f ca="1">IF(F222="","",$B$6+C222*$B$5-SUM($F$2:F222))</f>
        <v/>
      </c>
    </row>
    <row r="223" spans="4:7" x14ac:dyDescent="0.25">
      <c r="D223" t="str">
        <f ca="1">IF(SUM($D$2:D222)&gt;$B$4,"",D222+_xll.RiskExpon($B$3))</f>
        <v/>
      </c>
      <c r="E223" t="str">
        <f t="shared" ca="1" si="3"/>
        <v/>
      </c>
      <c r="F223" t="str">
        <f ca="1">IF(E223="","",_xll.RiskGamma($B$1,$B$2))</f>
        <v/>
      </c>
      <c r="G223" t="str">
        <f ca="1">IF(F223="","",$B$6+C223*$B$5-SUM($F$2:F223))</f>
        <v/>
      </c>
    </row>
    <row r="224" spans="4:7" x14ac:dyDescent="0.25">
      <c r="D224" t="str">
        <f ca="1">IF(SUM($D$2:D223)&gt;$B$4,"",D223+_xll.RiskExpon($B$3))</f>
        <v/>
      </c>
      <c r="E224" t="str">
        <f t="shared" ca="1" si="3"/>
        <v/>
      </c>
      <c r="F224" t="str">
        <f ca="1">IF(E224="","",_xll.RiskGamma($B$1,$B$2))</f>
        <v/>
      </c>
      <c r="G224" t="str">
        <f ca="1">IF(F224="","",$B$6+C224*$B$5-SUM($F$2:F224))</f>
        <v/>
      </c>
    </row>
    <row r="225" spans="4:7" x14ac:dyDescent="0.25">
      <c r="D225" t="str">
        <f ca="1">IF(SUM($D$2:D224)&gt;$B$4,"",D224+_xll.RiskExpon($B$3))</f>
        <v/>
      </c>
      <c r="E225" t="str">
        <f t="shared" ca="1" si="3"/>
        <v/>
      </c>
      <c r="F225" t="str">
        <f ca="1">IF(E225="","",_xll.RiskGamma($B$1,$B$2))</f>
        <v/>
      </c>
      <c r="G225" t="str">
        <f ca="1">IF(F225="","",$B$6+C225*$B$5-SUM($F$2:F225))</f>
        <v/>
      </c>
    </row>
    <row r="226" spans="4:7" x14ac:dyDescent="0.25">
      <c r="D226" t="str">
        <f ca="1">IF(SUM($D$2:D225)&gt;$B$4,"",D225+_xll.RiskExpon($B$3))</f>
        <v/>
      </c>
      <c r="E226" t="str">
        <f t="shared" ca="1" si="3"/>
        <v/>
      </c>
      <c r="F226" t="str">
        <f ca="1">IF(E226="","",_xll.RiskGamma($B$1,$B$2))</f>
        <v/>
      </c>
      <c r="G226" t="str">
        <f ca="1">IF(F226="","",$B$6+C226*$B$5-SUM($F$2:F226))</f>
        <v/>
      </c>
    </row>
    <row r="227" spans="4:7" x14ac:dyDescent="0.25">
      <c r="D227" t="str">
        <f ca="1">IF(SUM($D$2:D226)&gt;$B$4,"",D226+_xll.RiskExpon($B$3))</f>
        <v/>
      </c>
      <c r="E227" t="str">
        <f t="shared" ca="1" si="3"/>
        <v/>
      </c>
      <c r="F227" t="str">
        <f ca="1">IF(E227="","",_xll.RiskGamma($B$1,$B$2))</f>
        <v/>
      </c>
      <c r="G227" t="str">
        <f ca="1">IF(F227="","",$B$6+C227*$B$5-SUM($F$2:F227))</f>
        <v/>
      </c>
    </row>
    <row r="228" spans="4:7" x14ac:dyDescent="0.25">
      <c r="D228" t="str">
        <f ca="1">IF(SUM($D$2:D227)&gt;$B$4,"",D227+_xll.RiskExpon($B$3))</f>
        <v/>
      </c>
      <c r="E228" t="str">
        <f t="shared" ca="1" si="3"/>
        <v/>
      </c>
      <c r="F228" t="str">
        <f ca="1">IF(E228="","",_xll.RiskGamma($B$1,$B$2))</f>
        <v/>
      </c>
      <c r="G228" t="str">
        <f ca="1">IF(F228="","",$B$6+C228*$B$5-SUM($F$2:F228))</f>
        <v/>
      </c>
    </row>
    <row r="229" spans="4:7" x14ac:dyDescent="0.25">
      <c r="D229" t="str">
        <f ca="1">IF(SUM($D$2:D228)&gt;$B$4,"",D228+_xll.RiskExpon($B$3))</f>
        <v/>
      </c>
      <c r="E229" t="str">
        <f t="shared" ca="1" si="3"/>
        <v/>
      </c>
      <c r="F229" t="str">
        <f ca="1">IF(E229="","",_xll.RiskGamma($B$1,$B$2))</f>
        <v/>
      </c>
      <c r="G229" t="str">
        <f ca="1">IF(F229="","",$B$6+C229*$B$5-SUM($F$2:F229))</f>
        <v/>
      </c>
    </row>
    <row r="230" spans="4:7" x14ac:dyDescent="0.25">
      <c r="D230" t="str">
        <f ca="1">IF(SUM($D$2:D229)&gt;$B$4,"",D229+_xll.RiskExpon($B$3))</f>
        <v/>
      </c>
      <c r="E230" t="str">
        <f t="shared" ca="1" si="3"/>
        <v/>
      </c>
      <c r="F230" t="str">
        <f ca="1">IF(E230="","",_xll.RiskGamma($B$1,$B$2))</f>
        <v/>
      </c>
      <c r="G230" t="str">
        <f ca="1">IF(F230="","",$B$6+C230*$B$5-SUM($F$2:F230))</f>
        <v/>
      </c>
    </row>
    <row r="231" spans="4:7" x14ac:dyDescent="0.25">
      <c r="D231" t="str">
        <f ca="1">IF(SUM($D$2:D230)&gt;$B$4,"",D230+_xll.RiskExpon($B$3))</f>
        <v/>
      </c>
      <c r="E231" t="str">
        <f t="shared" ca="1" si="3"/>
        <v/>
      </c>
      <c r="F231" t="str">
        <f ca="1">IF(E231="","",_xll.RiskGamma($B$1,$B$2))</f>
        <v/>
      </c>
      <c r="G231" t="str">
        <f ca="1">IF(F231="","",$B$6+C231*$B$5-SUM($F$2:F231))</f>
        <v/>
      </c>
    </row>
    <row r="232" spans="4:7" x14ac:dyDescent="0.25">
      <c r="D232" t="str">
        <f ca="1">IF(SUM($D$2:D231)&gt;$B$4,"",D231+_xll.RiskExpon($B$3))</f>
        <v/>
      </c>
      <c r="E232" t="str">
        <f t="shared" ca="1" si="3"/>
        <v/>
      </c>
      <c r="F232" t="str">
        <f ca="1">IF(E232="","",_xll.RiskGamma($B$1,$B$2))</f>
        <v/>
      </c>
      <c r="G232" t="str">
        <f ca="1">IF(F232="","",$B$6+C232*$B$5-SUM($F$2:F232))</f>
        <v/>
      </c>
    </row>
    <row r="233" spans="4:7" x14ac:dyDescent="0.25">
      <c r="D233" t="str">
        <f ca="1">IF(SUM($D$2:D232)&gt;$B$4,"",D232+_xll.RiskExpon($B$3))</f>
        <v/>
      </c>
      <c r="E233" t="str">
        <f t="shared" ca="1" si="3"/>
        <v/>
      </c>
      <c r="F233" t="str">
        <f ca="1">IF(E233="","",_xll.RiskGamma($B$1,$B$2))</f>
        <v/>
      </c>
      <c r="G233" t="str">
        <f ca="1">IF(F233="","",$B$6+C233*$B$5-SUM($F$2:F233))</f>
        <v/>
      </c>
    </row>
    <row r="234" spans="4:7" x14ac:dyDescent="0.25">
      <c r="D234" t="str">
        <f ca="1">IF(SUM($D$2:D233)&gt;$B$4,"",D233+_xll.RiskExpon($B$3))</f>
        <v/>
      </c>
      <c r="E234" t="str">
        <f t="shared" ca="1" si="3"/>
        <v/>
      </c>
      <c r="F234" t="str">
        <f ca="1">IF(E234="","",_xll.RiskGamma($B$1,$B$2))</f>
        <v/>
      </c>
      <c r="G234" t="str">
        <f ca="1">IF(F234="","",$B$6+C234*$B$5-SUM($F$2:F234))</f>
        <v/>
      </c>
    </row>
    <row r="235" spans="4:7" x14ac:dyDescent="0.25">
      <c r="D235" t="str">
        <f ca="1">IF(SUM($D$2:D234)&gt;$B$4,"",D234+_xll.RiskExpon($B$3))</f>
        <v/>
      </c>
      <c r="E235" t="str">
        <f t="shared" ca="1" si="3"/>
        <v/>
      </c>
      <c r="F235" t="str">
        <f ca="1">IF(E235="","",_xll.RiskGamma($B$1,$B$2))</f>
        <v/>
      </c>
      <c r="G235" t="str">
        <f ca="1">IF(F235="","",$B$6+C235*$B$5-SUM($F$2:F235))</f>
        <v/>
      </c>
    </row>
    <row r="236" spans="4:7" x14ac:dyDescent="0.25">
      <c r="D236" t="str">
        <f ca="1">IF(SUM($D$2:D235)&gt;$B$4,"",D235+_xll.RiskExpon($B$3))</f>
        <v/>
      </c>
      <c r="E236" t="str">
        <f t="shared" ca="1" si="3"/>
        <v/>
      </c>
      <c r="F236" t="str">
        <f ca="1">IF(E236="","",_xll.RiskGamma($B$1,$B$2))</f>
        <v/>
      </c>
      <c r="G236" t="str">
        <f ca="1">IF(F236="","",$B$6+C236*$B$5-SUM($F$2:F236))</f>
        <v/>
      </c>
    </row>
    <row r="237" spans="4:7" x14ac:dyDescent="0.25">
      <c r="D237" t="str">
        <f ca="1">IF(SUM($D$2:D236)&gt;$B$4,"",D236+_xll.RiskExpon($B$3))</f>
        <v/>
      </c>
      <c r="E237" t="str">
        <f t="shared" ca="1" si="3"/>
        <v/>
      </c>
      <c r="F237" t="str">
        <f ca="1">IF(E237="","",_xll.RiskGamma($B$1,$B$2))</f>
        <v/>
      </c>
      <c r="G237" t="str">
        <f ca="1">IF(F237="","",$B$6+C237*$B$5-SUM($F$2:F237))</f>
        <v/>
      </c>
    </row>
    <row r="238" spans="4:7" x14ac:dyDescent="0.25">
      <c r="D238" t="str">
        <f ca="1">IF(SUM($D$2:D237)&gt;$B$4,"",D237+_xll.RiskExpon($B$3))</f>
        <v/>
      </c>
      <c r="E238" t="str">
        <f t="shared" ca="1" si="3"/>
        <v/>
      </c>
      <c r="F238" t="str">
        <f ca="1">IF(E238="","",_xll.RiskGamma($B$1,$B$2))</f>
        <v/>
      </c>
      <c r="G238" t="str">
        <f ca="1">IF(F238="","",$B$6+C238*$B$5-SUM($F$2:F238))</f>
        <v/>
      </c>
    </row>
    <row r="239" spans="4:7" x14ac:dyDescent="0.25">
      <c r="D239" t="str">
        <f ca="1">IF(SUM($D$2:D238)&gt;$B$4,"",D238+_xll.RiskExpon($B$3))</f>
        <v/>
      </c>
      <c r="E239" t="str">
        <f t="shared" ca="1" si="3"/>
        <v/>
      </c>
      <c r="F239" t="str">
        <f ca="1">IF(E239="","",_xll.RiskGamma($B$1,$B$2))</f>
        <v/>
      </c>
      <c r="G239" t="str">
        <f ca="1">IF(F239="","",$B$6+C239*$B$5-SUM($F$2:F239))</f>
        <v/>
      </c>
    </row>
    <row r="240" spans="4:7" x14ac:dyDescent="0.25">
      <c r="D240" t="str">
        <f ca="1">IF(SUM($D$2:D239)&gt;$B$4,"",D239+_xll.RiskExpon($B$3))</f>
        <v/>
      </c>
      <c r="E240" t="str">
        <f t="shared" ca="1" si="3"/>
        <v/>
      </c>
      <c r="F240" t="str">
        <f ca="1">IF(E240="","",_xll.RiskGamma($B$1,$B$2))</f>
        <v/>
      </c>
      <c r="G240" t="str">
        <f ca="1">IF(F240="","",$B$6+C240*$B$5-SUM($F$2:F240))</f>
        <v/>
      </c>
    </row>
    <row r="241" spans="4:7" x14ac:dyDescent="0.25">
      <c r="D241" t="str">
        <f ca="1">IF(SUM($D$2:D240)&gt;$B$4,"",D240+_xll.RiskExpon($B$3))</f>
        <v/>
      </c>
      <c r="E241" t="str">
        <f t="shared" ca="1" si="3"/>
        <v/>
      </c>
      <c r="F241" t="str">
        <f ca="1">IF(E241="","",_xll.RiskGamma($B$1,$B$2))</f>
        <v/>
      </c>
      <c r="G241" t="str">
        <f ca="1">IF(F241="","",$B$6+C241*$B$5-SUM($F$2:F241))</f>
        <v/>
      </c>
    </row>
    <row r="242" spans="4:7" x14ac:dyDescent="0.25">
      <c r="D242" t="str">
        <f ca="1">IF(SUM($D$2:D241)&gt;$B$4,"",D241+_xll.RiskExpon($B$3))</f>
        <v/>
      </c>
      <c r="E242" t="str">
        <f t="shared" ca="1" si="3"/>
        <v/>
      </c>
      <c r="F242" t="str">
        <f ca="1">IF(E242="","",_xll.RiskGamma($B$1,$B$2))</f>
        <v/>
      </c>
      <c r="G242" t="str">
        <f ca="1">IF(F242="","",$B$6+C242*$B$5-SUM($F$2:F242))</f>
        <v/>
      </c>
    </row>
    <row r="243" spans="4:7" x14ac:dyDescent="0.25">
      <c r="D243" t="str">
        <f ca="1">IF(SUM($D$2:D242)&gt;$B$4,"",D242+_xll.RiskExpon($B$3))</f>
        <v/>
      </c>
      <c r="E243" t="str">
        <f t="shared" ca="1" si="3"/>
        <v/>
      </c>
      <c r="F243" t="str">
        <f ca="1">IF(E243="","",_xll.RiskGamma($B$1,$B$2))</f>
        <v/>
      </c>
      <c r="G243" t="str">
        <f ca="1">IF(F243="","",$B$6+C243*$B$5-SUM($F$2:F243))</f>
        <v/>
      </c>
    </row>
    <row r="244" spans="4:7" x14ac:dyDescent="0.25">
      <c r="D244" t="str">
        <f ca="1">IF(SUM($D$2:D243)&gt;$B$4,"",D243+_xll.RiskExpon($B$3))</f>
        <v/>
      </c>
      <c r="E244" t="str">
        <f t="shared" ca="1" si="3"/>
        <v/>
      </c>
      <c r="F244" t="str">
        <f ca="1">IF(E244="","",_xll.RiskGamma($B$1,$B$2))</f>
        <v/>
      </c>
      <c r="G244" t="str">
        <f ca="1">IF(F244="","",$B$6+C244*$B$5-SUM($F$2:F244))</f>
        <v/>
      </c>
    </row>
    <row r="245" spans="4:7" x14ac:dyDescent="0.25">
      <c r="D245" t="str">
        <f ca="1">IF(SUM($D$2:D244)&gt;$B$4,"",D244+_xll.RiskExpon($B$3))</f>
        <v/>
      </c>
      <c r="E245" t="str">
        <f t="shared" ca="1" si="3"/>
        <v/>
      </c>
      <c r="F245" t="str">
        <f ca="1">IF(E245="","",_xll.RiskGamma($B$1,$B$2))</f>
        <v/>
      </c>
      <c r="G245" t="str">
        <f ca="1">IF(F245="","",$B$6+C245*$B$5-SUM($F$2:F245))</f>
        <v/>
      </c>
    </row>
    <row r="246" spans="4:7" x14ac:dyDescent="0.25">
      <c r="D246" t="str">
        <f ca="1">IF(SUM($D$2:D245)&gt;$B$4,"",D245+_xll.RiskExpon($B$3))</f>
        <v/>
      </c>
      <c r="E246" t="str">
        <f t="shared" ca="1" si="3"/>
        <v/>
      </c>
      <c r="F246" t="str">
        <f ca="1">IF(E246="","",_xll.RiskGamma($B$1,$B$2))</f>
        <v/>
      </c>
      <c r="G246" t="str">
        <f ca="1">IF(F246="","",$B$6+C246*$B$5-SUM($F$2:F246))</f>
        <v/>
      </c>
    </row>
    <row r="247" spans="4:7" x14ac:dyDescent="0.25">
      <c r="D247" t="str">
        <f ca="1">IF(SUM($D$2:D246)&gt;$B$4,"",D246+_xll.RiskExpon($B$3))</f>
        <v/>
      </c>
      <c r="E247" t="str">
        <f t="shared" ca="1" si="3"/>
        <v/>
      </c>
      <c r="F247" t="str">
        <f ca="1">IF(E247="","",_xll.RiskGamma($B$1,$B$2))</f>
        <v/>
      </c>
      <c r="G247" t="str">
        <f ca="1">IF(F247="","",$B$6+C247*$B$5-SUM($F$2:F247))</f>
        <v/>
      </c>
    </row>
    <row r="248" spans="4:7" x14ac:dyDescent="0.25">
      <c r="D248" t="str">
        <f ca="1">IF(SUM($D$2:D247)&gt;$B$4,"",D247+_xll.RiskExpon($B$3))</f>
        <v/>
      </c>
      <c r="E248" t="str">
        <f t="shared" ca="1" si="3"/>
        <v/>
      </c>
      <c r="F248" t="str">
        <f ca="1">IF(E248="","",_xll.RiskGamma($B$1,$B$2))</f>
        <v/>
      </c>
      <c r="G248" t="str">
        <f ca="1">IF(F248="","",$B$6+C248*$B$5-SUM($F$2:F248))</f>
        <v/>
      </c>
    </row>
    <row r="249" spans="4:7" x14ac:dyDescent="0.25">
      <c r="D249" t="str">
        <f ca="1">IF(SUM($D$2:D248)&gt;$B$4,"",D248+_xll.RiskExpon($B$3))</f>
        <v/>
      </c>
      <c r="E249" t="str">
        <f t="shared" ca="1" si="3"/>
        <v/>
      </c>
      <c r="F249" t="str">
        <f ca="1">IF(E249="","",_xll.RiskGamma($B$1,$B$2))</f>
        <v/>
      </c>
      <c r="G249" t="str">
        <f ca="1">IF(F249="","",$B$6+C249*$B$5-SUM($F$2:F249))</f>
        <v/>
      </c>
    </row>
    <row r="250" spans="4:7" x14ac:dyDescent="0.25">
      <c r="D250" t="str">
        <f ca="1">IF(SUM($D$2:D249)&gt;$B$4,"",D249+_xll.RiskExpon($B$3))</f>
        <v/>
      </c>
      <c r="E250" t="str">
        <f t="shared" ca="1" si="3"/>
        <v/>
      </c>
      <c r="F250" t="str">
        <f ca="1">IF(E250="","",_xll.RiskGamma($B$1,$B$2))</f>
        <v/>
      </c>
      <c r="G250" t="str">
        <f ca="1">IF(F250="","",$B$6+C250*$B$5-SUM($F$2:F250))</f>
        <v/>
      </c>
    </row>
    <row r="251" spans="4:7" x14ac:dyDescent="0.25">
      <c r="D251" t="str">
        <f ca="1">IF(SUM($D$2:D250)&gt;$B$4,"",D250+_xll.RiskExpon($B$3))</f>
        <v/>
      </c>
      <c r="E251" t="str">
        <f t="shared" ca="1" si="3"/>
        <v/>
      </c>
      <c r="F251" t="str">
        <f ca="1">IF(E251="","",_xll.RiskGamma($B$1,$B$2))</f>
        <v/>
      </c>
      <c r="G251" t="str">
        <f ca="1">IF(F251="","",$B$6+C251*$B$5-SUM($F$2:F251))</f>
        <v/>
      </c>
    </row>
    <row r="252" spans="4:7" x14ac:dyDescent="0.25">
      <c r="D252" t="str">
        <f ca="1">IF(SUM($D$2:D251)&gt;$B$4,"",D251+_xll.RiskExpon($B$3))</f>
        <v/>
      </c>
      <c r="E252" t="str">
        <f t="shared" ca="1" si="3"/>
        <v/>
      </c>
      <c r="F252" t="str">
        <f ca="1">IF(E252="","",_xll.RiskGamma($B$1,$B$2))</f>
        <v/>
      </c>
      <c r="G252" t="str">
        <f ca="1">IF(F252="","",$B$6+C252*$B$5-SUM($F$2:F252))</f>
        <v/>
      </c>
    </row>
    <row r="253" spans="4:7" x14ac:dyDescent="0.25">
      <c r="D253" t="str">
        <f ca="1">IF(SUM($D$2:D252)&gt;$B$4,"",D252+_xll.RiskExpon($B$3))</f>
        <v/>
      </c>
      <c r="E253" t="str">
        <f t="shared" ca="1" si="3"/>
        <v/>
      </c>
      <c r="F253" t="str">
        <f ca="1">IF(E253="","",_xll.RiskGamma($B$1,$B$2))</f>
        <v/>
      </c>
      <c r="G253" t="str">
        <f ca="1">IF(F253="","",$B$6+C253*$B$5-SUM($F$2:F253))</f>
        <v/>
      </c>
    </row>
    <row r="254" spans="4:7" x14ac:dyDescent="0.25">
      <c r="D254" t="str">
        <f ca="1">IF(SUM($D$2:D253)&gt;$B$4,"",D253+_xll.RiskExpon($B$3))</f>
        <v/>
      </c>
      <c r="E254" t="str">
        <f t="shared" ca="1" si="3"/>
        <v/>
      </c>
      <c r="F254" t="str">
        <f ca="1">IF(E254="","",_xll.RiskGamma($B$1,$B$2))</f>
        <v/>
      </c>
      <c r="G254" t="str">
        <f ca="1">IF(F254="","",$B$6+C254*$B$5-SUM($F$2:F254))</f>
        <v/>
      </c>
    </row>
    <row r="255" spans="4:7" x14ac:dyDescent="0.25">
      <c r="D255" t="str">
        <f ca="1">IF(SUM($D$2:D254)&gt;$B$4,"",D254+_xll.RiskExpon($B$3))</f>
        <v/>
      </c>
      <c r="E255" t="str">
        <f t="shared" ca="1" si="3"/>
        <v/>
      </c>
      <c r="F255" t="str">
        <f ca="1">IF(E255="","",_xll.RiskGamma($B$1,$B$2))</f>
        <v/>
      </c>
      <c r="G255" t="str">
        <f ca="1">IF(F255="","",$B$6+C255*$B$5-SUM($F$2:F255))</f>
        <v/>
      </c>
    </row>
    <row r="256" spans="4:7" x14ac:dyDescent="0.25">
      <c r="D256" t="str">
        <f ca="1">IF(SUM($D$2:D255)&gt;$B$4,"",D255+_xll.RiskExpon($B$3))</f>
        <v/>
      </c>
      <c r="E256" t="str">
        <f t="shared" ca="1" si="3"/>
        <v/>
      </c>
      <c r="F256" t="str">
        <f ca="1">IF(E256="","",_xll.RiskGamma($B$1,$B$2))</f>
        <v/>
      </c>
      <c r="G256" t="str">
        <f ca="1">IF(F256="","",$B$6+C256*$B$5-SUM($F$2:F256))</f>
        <v/>
      </c>
    </row>
    <row r="257" spans="4:7" x14ac:dyDescent="0.25">
      <c r="D257" t="str">
        <f ca="1">IF(SUM($D$2:D256)&gt;$B$4,"",D256+_xll.RiskExpon($B$3))</f>
        <v/>
      </c>
      <c r="E257" t="str">
        <f t="shared" ca="1" si="3"/>
        <v/>
      </c>
      <c r="F257" t="str">
        <f ca="1">IF(E257="","",_xll.RiskGamma($B$1,$B$2))</f>
        <v/>
      </c>
      <c r="G257" t="str">
        <f ca="1">IF(F257="","",$B$6+C257*$B$5-SUM($F$2:F257))</f>
        <v/>
      </c>
    </row>
    <row r="258" spans="4:7" x14ac:dyDescent="0.25">
      <c r="D258" t="str">
        <f ca="1">IF(SUM($D$2:D257)&gt;$B$4,"",D257+_xll.RiskExpon($B$3))</f>
        <v/>
      </c>
      <c r="E258" t="str">
        <f t="shared" ca="1" si="3"/>
        <v/>
      </c>
      <c r="F258" t="str">
        <f ca="1">IF(E258="","",_xll.RiskGamma($B$1,$B$2))</f>
        <v/>
      </c>
      <c r="G258" t="str">
        <f ca="1">IF(F258="","",$B$6+C258*$B$5-SUM($F$2:F258))</f>
        <v/>
      </c>
    </row>
    <row r="259" spans="4:7" x14ac:dyDescent="0.25">
      <c r="D259" t="str">
        <f ca="1">IF(SUM($D$2:D258)&gt;$B$4,"",D258+_xll.RiskExpon($B$3))</f>
        <v/>
      </c>
      <c r="E259" t="str">
        <f t="shared" ca="1" si="3"/>
        <v/>
      </c>
      <c r="F259" t="str">
        <f ca="1">IF(E259="","",_xll.RiskGamma($B$1,$B$2))</f>
        <v/>
      </c>
      <c r="G259" t="str">
        <f ca="1">IF(F259="","",$B$6+C259*$B$5-SUM($F$2:F259))</f>
        <v/>
      </c>
    </row>
    <row r="260" spans="4:7" x14ac:dyDescent="0.25">
      <c r="D260" t="str">
        <f ca="1">IF(SUM($D$2:D259)&gt;$B$4,"",D259+_xll.RiskExpon($B$3))</f>
        <v/>
      </c>
      <c r="E260" t="str">
        <f t="shared" ref="E260:E323" ca="1" si="4">IF(E259&lt;$B$7,E259+1,"")</f>
        <v/>
      </c>
      <c r="F260" t="str">
        <f ca="1">IF(E260="","",_xll.RiskGamma($B$1,$B$2))</f>
        <v/>
      </c>
      <c r="G260" t="str">
        <f ca="1">IF(F260="","",$B$6+C260*$B$5-SUM($F$2:F260))</f>
        <v/>
      </c>
    </row>
    <row r="261" spans="4:7" x14ac:dyDescent="0.25">
      <c r="D261" t="str">
        <f ca="1">IF(SUM($D$2:D260)&gt;$B$4,"",D260+_xll.RiskExpon($B$3))</f>
        <v/>
      </c>
      <c r="E261" t="str">
        <f t="shared" ca="1" si="4"/>
        <v/>
      </c>
      <c r="F261" t="str">
        <f ca="1">IF(E261="","",_xll.RiskGamma($B$1,$B$2))</f>
        <v/>
      </c>
      <c r="G261" t="str">
        <f ca="1">IF(F261="","",$B$6+C261*$B$5-SUM($F$2:F261))</f>
        <v/>
      </c>
    </row>
    <row r="262" spans="4:7" x14ac:dyDescent="0.25">
      <c r="D262" t="str">
        <f ca="1">IF(SUM($D$2:D261)&gt;$B$4,"",D261+_xll.RiskExpon($B$3))</f>
        <v/>
      </c>
      <c r="E262" t="str">
        <f t="shared" ca="1" si="4"/>
        <v/>
      </c>
      <c r="F262" t="str">
        <f ca="1">IF(E262="","",_xll.RiskGamma($B$1,$B$2))</f>
        <v/>
      </c>
      <c r="G262" t="str">
        <f ca="1">IF(F262="","",$B$6+C262*$B$5-SUM($F$2:F262))</f>
        <v/>
      </c>
    </row>
    <row r="263" spans="4:7" x14ac:dyDescent="0.25">
      <c r="D263" t="str">
        <f ca="1">IF(SUM($D$2:D262)&gt;$B$4,"",D262+_xll.RiskExpon($B$3))</f>
        <v/>
      </c>
      <c r="E263" t="str">
        <f t="shared" ca="1" si="4"/>
        <v/>
      </c>
      <c r="F263" t="str">
        <f ca="1">IF(E263="","",_xll.RiskGamma($B$1,$B$2))</f>
        <v/>
      </c>
      <c r="G263" t="str">
        <f ca="1">IF(F263="","",$B$6+C263*$B$5-SUM($F$2:F263))</f>
        <v/>
      </c>
    </row>
    <row r="264" spans="4:7" x14ac:dyDescent="0.25">
      <c r="D264" t="str">
        <f ca="1">IF(SUM($D$2:D263)&gt;$B$4,"",D263+_xll.RiskExpon($B$3))</f>
        <v/>
      </c>
      <c r="E264" t="str">
        <f t="shared" ca="1" si="4"/>
        <v/>
      </c>
      <c r="F264" t="str">
        <f ca="1">IF(E264="","",_xll.RiskGamma($B$1,$B$2))</f>
        <v/>
      </c>
      <c r="G264" t="str">
        <f ca="1">IF(F264="","",$B$6+C264*$B$5-SUM($F$2:F264))</f>
        <v/>
      </c>
    </row>
    <row r="265" spans="4:7" x14ac:dyDescent="0.25">
      <c r="D265" t="str">
        <f ca="1">IF(SUM($D$2:D264)&gt;$B$4,"",D264+_xll.RiskExpon($B$3))</f>
        <v/>
      </c>
      <c r="E265" t="str">
        <f t="shared" ca="1" si="4"/>
        <v/>
      </c>
      <c r="F265" t="str">
        <f ca="1">IF(E265="","",_xll.RiskGamma($B$1,$B$2))</f>
        <v/>
      </c>
      <c r="G265" t="str">
        <f ca="1">IF(F265="","",$B$6+C265*$B$5-SUM($F$2:F265))</f>
        <v/>
      </c>
    </row>
    <row r="266" spans="4:7" x14ac:dyDescent="0.25">
      <c r="D266" t="str">
        <f ca="1">IF(SUM($D$2:D265)&gt;$B$4,"",D265+_xll.RiskExpon($B$3))</f>
        <v/>
      </c>
      <c r="E266" t="str">
        <f t="shared" ca="1" si="4"/>
        <v/>
      </c>
      <c r="F266" t="str">
        <f ca="1">IF(E266="","",_xll.RiskGamma($B$1,$B$2))</f>
        <v/>
      </c>
      <c r="G266" t="str">
        <f ca="1">IF(F266="","",$B$6+C266*$B$5-SUM($F$2:F266))</f>
        <v/>
      </c>
    </row>
    <row r="267" spans="4:7" x14ac:dyDescent="0.25">
      <c r="D267" t="str">
        <f ca="1">IF(SUM($D$2:D266)&gt;$B$4,"",D266+_xll.RiskExpon($B$3))</f>
        <v/>
      </c>
      <c r="E267" t="str">
        <f t="shared" ca="1" si="4"/>
        <v/>
      </c>
      <c r="F267" t="str">
        <f ca="1">IF(E267="","",_xll.RiskGamma($B$1,$B$2))</f>
        <v/>
      </c>
      <c r="G267" t="str">
        <f ca="1">IF(F267="","",$B$6+C267*$B$5-SUM($F$2:F267))</f>
        <v/>
      </c>
    </row>
    <row r="268" spans="4:7" x14ac:dyDescent="0.25">
      <c r="D268" t="str">
        <f ca="1">IF(SUM($D$2:D267)&gt;$B$4,"",D267+_xll.RiskExpon($B$3))</f>
        <v/>
      </c>
      <c r="E268" t="str">
        <f t="shared" ca="1" si="4"/>
        <v/>
      </c>
      <c r="F268" t="str">
        <f ca="1">IF(E268="","",_xll.RiskGamma($B$1,$B$2))</f>
        <v/>
      </c>
      <c r="G268" t="str">
        <f ca="1">IF(F268="","",$B$6+C268*$B$5-SUM($F$2:F268))</f>
        <v/>
      </c>
    </row>
    <row r="269" spans="4:7" x14ac:dyDescent="0.25">
      <c r="D269" t="str">
        <f ca="1">IF(SUM($D$2:D268)&gt;$B$4,"",D268+_xll.RiskExpon($B$3))</f>
        <v/>
      </c>
      <c r="E269" t="str">
        <f t="shared" ca="1" si="4"/>
        <v/>
      </c>
      <c r="F269" t="str">
        <f ca="1">IF(E269="","",_xll.RiskGamma($B$1,$B$2))</f>
        <v/>
      </c>
      <c r="G269" t="str">
        <f ca="1">IF(F269="","",$B$6+C269*$B$5-SUM($F$2:F269))</f>
        <v/>
      </c>
    </row>
    <row r="270" spans="4:7" x14ac:dyDescent="0.25">
      <c r="D270" t="str">
        <f ca="1">IF(SUM($D$2:D269)&gt;$B$4,"",D269+_xll.RiskExpon($B$3))</f>
        <v/>
      </c>
      <c r="E270" t="str">
        <f t="shared" ca="1" si="4"/>
        <v/>
      </c>
      <c r="F270" t="str">
        <f ca="1">IF(E270="","",_xll.RiskGamma($B$1,$B$2))</f>
        <v/>
      </c>
      <c r="G270" t="str">
        <f ca="1">IF(F270="","",$B$6+C270*$B$5-SUM($F$2:F270))</f>
        <v/>
      </c>
    </row>
    <row r="271" spans="4:7" x14ac:dyDescent="0.25">
      <c r="D271" t="str">
        <f ca="1">IF(SUM($D$2:D270)&gt;$B$4,"",D270+_xll.RiskExpon($B$3))</f>
        <v/>
      </c>
      <c r="E271" t="str">
        <f t="shared" ca="1" si="4"/>
        <v/>
      </c>
      <c r="F271" t="str">
        <f ca="1">IF(E271="","",_xll.RiskGamma($B$1,$B$2))</f>
        <v/>
      </c>
      <c r="G271" t="str">
        <f ca="1">IF(F271="","",$B$6+C271*$B$5-SUM($F$2:F271))</f>
        <v/>
      </c>
    </row>
    <row r="272" spans="4:7" x14ac:dyDescent="0.25">
      <c r="D272" t="str">
        <f ca="1">IF(SUM($D$2:D271)&gt;$B$4,"",D271+_xll.RiskExpon($B$3))</f>
        <v/>
      </c>
      <c r="E272" t="str">
        <f t="shared" ca="1" si="4"/>
        <v/>
      </c>
      <c r="F272" t="str">
        <f ca="1">IF(E272="","",_xll.RiskGamma($B$1,$B$2))</f>
        <v/>
      </c>
      <c r="G272" t="str">
        <f ca="1">IF(F272="","",$B$6+C272*$B$5-SUM($F$2:F272))</f>
        <v/>
      </c>
    </row>
    <row r="273" spans="4:7" x14ac:dyDescent="0.25">
      <c r="D273" t="str">
        <f ca="1">IF(SUM($D$2:D272)&gt;$B$4,"",D272+_xll.RiskExpon($B$3))</f>
        <v/>
      </c>
      <c r="E273" t="str">
        <f t="shared" ca="1" si="4"/>
        <v/>
      </c>
      <c r="F273" t="str">
        <f ca="1">IF(E273="","",_xll.RiskGamma($B$1,$B$2))</f>
        <v/>
      </c>
      <c r="G273" t="str">
        <f ca="1">IF(F273="","",$B$6+C273*$B$5-SUM($F$2:F273))</f>
        <v/>
      </c>
    </row>
    <row r="274" spans="4:7" x14ac:dyDescent="0.25">
      <c r="D274" t="str">
        <f ca="1">IF(SUM($D$2:D273)&gt;$B$4,"",D273+_xll.RiskExpon($B$3))</f>
        <v/>
      </c>
      <c r="E274" t="str">
        <f t="shared" ca="1" si="4"/>
        <v/>
      </c>
      <c r="F274" t="str">
        <f ca="1">IF(E274="","",_xll.RiskGamma($B$1,$B$2))</f>
        <v/>
      </c>
      <c r="G274" t="str">
        <f ca="1">IF(F274="","",$B$6+C274*$B$5-SUM($F$2:F274))</f>
        <v/>
      </c>
    </row>
    <row r="275" spans="4:7" x14ac:dyDescent="0.25">
      <c r="D275" t="str">
        <f ca="1">IF(SUM($D$2:D274)&gt;$B$4,"",D274+_xll.RiskExpon($B$3))</f>
        <v/>
      </c>
      <c r="E275" t="str">
        <f t="shared" ca="1" si="4"/>
        <v/>
      </c>
      <c r="F275" t="str">
        <f ca="1">IF(E275="","",_xll.RiskGamma($B$1,$B$2))</f>
        <v/>
      </c>
      <c r="G275" t="str">
        <f ca="1">IF(F275="","",$B$6+C275*$B$5-SUM($F$2:F275))</f>
        <v/>
      </c>
    </row>
    <row r="276" spans="4:7" x14ac:dyDescent="0.25">
      <c r="D276" t="str">
        <f ca="1">IF(SUM($D$2:D275)&gt;$B$4,"",D275+_xll.RiskExpon($B$3))</f>
        <v/>
      </c>
      <c r="E276" t="str">
        <f t="shared" ca="1" si="4"/>
        <v/>
      </c>
      <c r="F276" t="str">
        <f ca="1">IF(E276="","",_xll.RiskGamma($B$1,$B$2))</f>
        <v/>
      </c>
      <c r="G276" t="str">
        <f ca="1">IF(F276="","",$B$6+C276*$B$5-SUM($F$2:F276))</f>
        <v/>
      </c>
    </row>
    <row r="277" spans="4:7" x14ac:dyDescent="0.25">
      <c r="D277" t="str">
        <f ca="1">IF(SUM($D$2:D276)&gt;$B$4,"",D276+_xll.RiskExpon($B$3))</f>
        <v/>
      </c>
      <c r="E277" t="str">
        <f t="shared" ca="1" si="4"/>
        <v/>
      </c>
      <c r="F277" t="str">
        <f ca="1">IF(E277="","",_xll.RiskGamma($B$1,$B$2))</f>
        <v/>
      </c>
      <c r="G277" t="str">
        <f ca="1">IF(F277="","",$B$6+C277*$B$5-SUM($F$2:F277))</f>
        <v/>
      </c>
    </row>
    <row r="278" spans="4:7" x14ac:dyDescent="0.25">
      <c r="D278" t="str">
        <f ca="1">IF(SUM($D$2:D277)&gt;$B$4,"",D277+_xll.RiskExpon($B$3))</f>
        <v/>
      </c>
      <c r="E278" t="str">
        <f t="shared" ca="1" si="4"/>
        <v/>
      </c>
      <c r="F278" t="str">
        <f ca="1">IF(E278="","",_xll.RiskGamma($B$1,$B$2))</f>
        <v/>
      </c>
      <c r="G278" t="str">
        <f ca="1">IF(F278="","",$B$6+C278*$B$5-SUM($F$2:F278))</f>
        <v/>
      </c>
    </row>
    <row r="279" spans="4:7" x14ac:dyDescent="0.25">
      <c r="D279" t="str">
        <f ca="1">IF(SUM($D$2:D278)&gt;$B$4,"",D278+_xll.RiskExpon($B$3))</f>
        <v/>
      </c>
      <c r="E279" t="str">
        <f t="shared" ca="1" si="4"/>
        <v/>
      </c>
      <c r="F279" t="str">
        <f ca="1">IF(E279="","",_xll.RiskGamma($B$1,$B$2))</f>
        <v/>
      </c>
      <c r="G279" t="str">
        <f ca="1">IF(F279="","",$B$6+C279*$B$5-SUM($F$2:F279))</f>
        <v/>
      </c>
    </row>
    <row r="280" spans="4:7" x14ac:dyDescent="0.25">
      <c r="D280" t="str">
        <f ca="1">IF(SUM($D$2:D279)&gt;$B$4,"",D279+_xll.RiskExpon($B$3))</f>
        <v/>
      </c>
      <c r="E280" t="str">
        <f t="shared" ca="1" si="4"/>
        <v/>
      </c>
      <c r="F280" t="str">
        <f ca="1">IF(E280="","",_xll.RiskGamma($B$1,$B$2))</f>
        <v/>
      </c>
      <c r="G280" t="str">
        <f ca="1">IF(F280="","",$B$6+C280*$B$5-SUM($F$2:F280))</f>
        <v/>
      </c>
    </row>
    <row r="281" spans="4:7" x14ac:dyDescent="0.25">
      <c r="D281" t="str">
        <f ca="1">IF(SUM($D$2:D280)&gt;$B$4,"",D280+_xll.RiskExpon($B$3))</f>
        <v/>
      </c>
      <c r="E281" t="str">
        <f t="shared" ca="1" si="4"/>
        <v/>
      </c>
      <c r="F281" t="str">
        <f ca="1">IF(E281="","",_xll.RiskGamma($B$1,$B$2))</f>
        <v/>
      </c>
      <c r="G281" t="str">
        <f ca="1">IF(F281="","",$B$6+C281*$B$5-SUM($F$2:F281))</f>
        <v/>
      </c>
    </row>
    <row r="282" spans="4:7" x14ac:dyDescent="0.25">
      <c r="D282" t="str">
        <f ca="1">IF(SUM($D$2:D281)&gt;$B$4,"",D281+_xll.RiskExpon($B$3))</f>
        <v/>
      </c>
      <c r="E282" t="str">
        <f t="shared" ca="1" si="4"/>
        <v/>
      </c>
      <c r="F282" t="str">
        <f ca="1">IF(E282="","",_xll.RiskGamma($B$1,$B$2))</f>
        <v/>
      </c>
      <c r="G282" t="str">
        <f ca="1">IF(F282="","",$B$6+C282*$B$5-SUM($F$2:F282))</f>
        <v/>
      </c>
    </row>
    <row r="283" spans="4:7" x14ac:dyDescent="0.25">
      <c r="D283" t="str">
        <f ca="1">IF(SUM($D$2:D282)&gt;$B$4,"",D282+_xll.RiskExpon($B$3))</f>
        <v/>
      </c>
      <c r="E283" t="str">
        <f t="shared" ca="1" si="4"/>
        <v/>
      </c>
      <c r="F283" t="str">
        <f ca="1">IF(E283="","",_xll.RiskGamma($B$1,$B$2))</f>
        <v/>
      </c>
      <c r="G283" t="str">
        <f ca="1">IF(F283="","",$B$6+C283*$B$5-SUM($F$2:F283))</f>
        <v/>
      </c>
    </row>
    <row r="284" spans="4:7" x14ac:dyDescent="0.25">
      <c r="D284" t="str">
        <f ca="1">IF(SUM($D$2:D283)&gt;$B$4,"",D283+_xll.RiskExpon($B$3))</f>
        <v/>
      </c>
      <c r="E284" t="str">
        <f t="shared" ca="1" si="4"/>
        <v/>
      </c>
      <c r="F284" t="str">
        <f ca="1">IF(E284="","",_xll.RiskGamma($B$1,$B$2))</f>
        <v/>
      </c>
      <c r="G284" t="str">
        <f ca="1">IF(F284="","",$B$6+C284*$B$5-SUM($F$2:F284))</f>
        <v/>
      </c>
    </row>
    <row r="285" spans="4:7" x14ac:dyDescent="0.25">
      <c r="D285" t="str">
        <f ca="1">IF(SUM($D$2:D284)&gt;$B$4,"",D284+_xll.RiskExpon($B$3))</f>
        <v/>
      </c>
      <c r="E285" t="str">
        <f t="shared" ca="1" si="4"/>
        <v/>
      </c>
      <c r="F285" t="str">
        <f ca="1">IF(E285="","",_xll.RiskGamma($B$1,$B$2))</f>
        <v/>
      </c>
      <c r="G285" t="str">
        <f ca="1">IF(F285="","",$B$6+C285*$B$5-SUM($F$2:F285))</f>
        <v/>
      </c>
    </row>
    <row r="286" spans="4:7" x14ac:dyDescent="0.25">
      <c r="D286" t="str">
        <f ca="1">IF(SUM($D$2:D285)&gt;$B$4,"",D285+_xll.RiskExpon($B$3))</f>
        <v/>
      </c>
      <c r="E286" t="str">
        <f t="shared" ca="1" si="4"/>
        <v/>
      </c>
      <c r="F286" t="str">
        <f ca="1">IF(E286="","",_xll.RiskGamma($B$1,$B$2))</f>
        <v/>
      </c>
      <c r="G286" t="str">
        <f ca="1">IF(F286="","",$B$6+C286*$B$5-SUM($F$2:F286))</f>
        <v/>
      </c>
    </row>
    <row r="287" spans="4:7" x14ac:dyDescent="0.25">
      <c r="D287" t="str">
        <f ca="1">IF(SUM($D$2:D286)&gt;$B$4,"",D286+_xll.RiskExpon($B$3))</f>
        <v/>
      </c>
      <c r="E287" t="str">
        <f t="shared" ca="1" si="4"/>
        <v/>
      </c>
      <c r="F287" t="str">
        <f ca="1">IF(E287="","",_xll.RiskGamma($B$1,$B$2))</f>
        <v/>
      </c>
      <c r="G287" t="str">
        <f ca="1">IF(F287="","",$B$6+C287*$B$5-SUM($F$2:F287))</f>
        <v/>
      </c>
    </row>
    <row r="288" spans="4:7" x14ac:dyDescent="0.25">
      <c r="D288" t="str">
        <f ca="1">IF(SUM($D$2:D287)&gt;$B$4,"",D287+_xll.RiskExpon($B$3))</f>
        <v/>
      </c>
      <c r="E288" t="str">
        <f t="shared" ca="1" si="4"/>
        <v/>
      </c>
      <c r="F288" t="str">
        <f ca="1">IF(E288="","",_xll.RiskGamma($B$1,$B$2))</f>
        <v/>
      </c>
      <c r="G288" t="str">
        <f ca="1">IF(F288="","",$B$6+C288*$B$5-SUM($F$2:F288))</f>
        <v/>
      </c>
    </row>
    <row r="289" spans="4:7" x14ac:dyDescent="0.25">
      <c r="D289" t="str">
        <f ca="1">IF(SUM($D$2:D288)&gt;$B$4,"",D288+_xll.RiskExpon($B$3))</f>
        <v/>
      </c>
      <c r="E289" t="str">
        <f t="shared" ca="1" si="4"/>
        <v/>
      </c>
      <c r="F289" t="str">
        <f ca="1">IF(E289="","",_xll.RiskGamma($B$1,$B$2))</f>
        <v/>
      </c>
      <c r="G289" t="str">
        <f ca="1">IF(F289="","",$B$6+C289*$B$5-SUM($F$2:F289))</f>
        <v/>
      </c>
    </row>
    <row r="290" spans="4:7" x14ac:dyDescent="0.25">
      <c r="D290" t="str">
        <f ca="1">IF(SUM($D$2:D289)&gt;$B$4,"",D289+_xll.RiskExpon($B$3))</f>
        <v/>
      </c>
      <c r="E290" t="str">
        <f t="shared" ca="1" si="4"/>
        <v/>
      </c>
      <c r="F290" t="str">
        <f ca="1">IF(E290="","",_xll.RiskGamma($B$1,$B$2))</f>
        <v/>
      </c>
      <c r="G290" t="str">
        <f ca="1">IF(F290="","",$B$6+C290*$B$5-SUM($F$2:F290))</f>
        <v/>
      </c>
    </row>
    <row r="291" spans="4:7" x14ac:dyDescent="0.25">
      <c r="D291" t="str">
        <f ca="1">IF(SUM($D$2:D290)&gt;$B$4,"",D290+_xll.RiskExpon($B$3))</f>
        <v/>
      </c>
      <c r="E291" t="str">
        <f t="shared" ca="1" si="4"/>
        <v/>
      </c>
      <c r="F291" t="str">
        <f ca="1">IF(E291="","",_xll.RiskGamma($B$1,$B$2))</f>
        <v/>
      </c>
      <c r="G291" t="str">
        <f ca="1">IF(F291="","",$B$6+C291*$B$5-SUM($F$2:F291))</f>
        <v/>
      </c>
    </row>
    <row r="292" spans="4:7" x14ac:dyDescent="0.25">
      <c r="D292" t="str">
        <f ca="1">IF(SUM($D$2:D291)&gt;$B$4,"",D291+_xll.RiskExpon($B$3))</f>
        <v/>
      </c>
      <c r="E292" t="str">
        <f t="shared" ca="1" si="4"/>
        <v/>
      </c>
      <c r="F292" t="str">
        <f ca="1">IF(E292="","",_xll.RiskGamma($B$1,$B$2))</f>
        <v/>
      </c>
      <c r="G292" t="str">
        <f ca="1">IF(F292="","",$B$6+C292*$B$5-SUM($F$2:F292))</f>
        <v/>
      </c>
    </row>
    <row r="293" spans="4:7" x14ac:dyDescent="0.25">
      <c r="D293" t="str">
        <f ca="1">IF(SUM($D$2:D292)&gt;$B$4,"",D292+_xll.RiskExpon($B$3))</f>
        <v/>
      </c>
      <c r="E293" t="str">
        <f t="shared" ca="1" si="4"/>
        <v/>
      </c>
      <c r="F293" t="str">
        <f ca="1">IF(E293="","",_xll.RiskGamma($B$1,$B$2))</f>
        <v/>
      </c>
      <c r="G293" t="str">
        <f ca="1">IF(F293="","",$B$6+C293*$B$5-SUM($F$2:F293))</f>
        <v/>
      </c>
    </row>
    <row r="294" spans="4:7" x14ac:dyDescent="0.25">
      <c r="D294" t="str">
        <f ca="1">IF(SUM($D$2:D293)&gt;$B$4,"",D293+_xll.RiskExpon($B$3))</f>
        <v/>
      </c>
      <c r="E294" t="str">
        <f t="shared" ca="1" si="4"/>
        <v/>
      </c>
      <c r="F294" t="str">
        <f ca="1">IF(E294="","",_xll.RiskGamma($B$1,$B$2))</f>
        <v/>
      </c>
      <c r="G294" t="str">
        <f ca="1">IF(F294="","",$B$6+C294*$B$5-SUM($F$2:F294))</f>
        <v/>
      </c>
    </row>
    <row r="295" spans="4:7" x14ac:dyDescent="0.25">
      <c r="D295" t="str">
        <f ca="1">IF(SUM($D$2:D294)&gt;$B$4,"",D294+_xll.RiskExpon($B$3))</f>
        <v/>
      </c>
      <c r="E295" t="str">
        <f t="shared" ca="1" si="4"/>
        <v/>
      </c>
      <c r="F295" t="str">
        <f ca="1">IF(E295="","",_xll.RiskGamma($B$1,$B$2))</f>
        <v/>
      </c>
      <c r="G295" t="str">
        <f ca="1">IF(F295="","",$B$6+C295*$B$5-SUM($F$2:F295))</f>
        <v/>
      </c>
    </row>
    <row r="296" spans="4:7" x14ac:dyDescent="0.25">
      <c r="D296" t="str">
        <f ca="1">IF(SUM($D$2:D295)&gt;$B$4,"",D295+_xll.RiskExpon($B$3))</f>
        <v/>
      </c>
      <c r="E296" t="str">
        <f t="shared" ca="1" si="4"/>
        <v/>
      </c>
      <c r="F296" t="str">
        <f ca="1">IF(E296="","",_xll.RiskGamma($B$1,$B$2))</f>
        <v/>
      </c>
      <c r="G296" t="str">
        <f ca="1">IF(F296="","",$B$6+C296*$B$5-SUM($F$2:F296))</f>
        <v/>
      </c>
    </row>
    <row r="297" spans="4:7" x14ac:dyDescent="0.25">
      <c r="D297" t="str">
        <f ca="1">IF(SUM($D$2:D296)&gt;$B$4,"",D296+_xll.RiskExpon($B$3))</f>
        <v/>
      </c>
      <c r="E297" t="str">
        <f t="shared" ca="1" si="4"/>
        <v/>
      </c>
      <c r="F297" t="str">
        <f ca="1">IF(E297="","",_xll.RiskGamma($B$1,$B$2))</f>
        <v/>
      </c>
      <c r="G297" t="str">
        <f ca="1">IF(F297="","",$B$6+C297*$B$5-SUM($F$2:F297))</f>
        <v/>
      </c>
    </row>
    <row r="298" spans="4:7" x14ac:dyDescent="0.25">
      <c r="D298" t="str">
        <f ca="1">IF(SUM($D$2:D297)&gt;$B$4,"",D297+_xll.RiskExpon($B$3))</f>
        <v/>
      </c>
      <c r="E298" t="str">
        <f t="shared" ca="1" si="4"/>
        <v/>
      </c>
      <c r="F298" t="str">
        <f ca="1">IF(E298="","",_xll.RiskGamma($B$1,$B$2))</f>
        <v/>
      </c>
      <c r="G298" t="str">
        <f ca="1">IF(F298="","",$B$6+C298*$B$5-SUM($F$2:F298))</f>
        <v/>
      </c>
    </row>
    <row r="299" spans="4:7" x14ac:dyDescent="0.25">
      <c r="D299" t="str">
        <f ca="1">IF(SUM($D$2:D298)&gt;$B$4,"",D298+_xll.RiskExpon($B$3))</f>
        <v/>
      </c>
      <c r="E299" t="str">
        <f t="shared" ca="1" si="4"/>
        <v/>
      </c>
      <c r="F299" t="str">
        <f ca="1">IF(E299="","",_xll.RiskGamma($B$1,$B$2))</f>
        <v/>
      </c>
      <c r="G299" t="str">
        <f ca="1">IF(F299="","",$B$6+C299*$B$5-SUM($F$2:F299))</f>
        <v/>
      </c>
    </row>
    <row r="300" spans="4:7" x14ac:dyDescent="0.25">
      <c r="D300" t="str">
        <f ca="1">IF(SUM($D$2:D299)&gt;$B$4,"",D299+_xll.RiskExpon($B$3))</f>
        <v/>
      </c>
      <c r="E300" t="str">
        <f t="shared" ca="1" si="4"/>
        <v/>
      </c>
      <c r="F300" t="str">
        <f ca="1">IF(E300="","",_xll.RiskGamma($B$1,$B$2))</f>
        <v/>
      </c>
      <c r="G300" t="str">
        <f ca="1">IF(F300="","",$B$6+C300*$B$5-SUM($F$2:F300))</f>
        <v/>
      </c>
    </row>
    <row r="301" spans="4:7" x14ac:dyDescent="0.25">
      <c r="D301" t="str">
        <f ca="1">IF(SUM($D$2:D300)&gt;$B$4,"",D300+_xll.RiskExpon($B$3))</f>
        <v/>
      </c>
      <c r="E301" t="str">
        <f t="shared" ca="1" si="4"/>
        <v/>
      </c>
      <c r="F301" t="str">
        <f ca="1">IF(E301="","",_xll.RiskGamma($B$1,$B$2))</f>
        <v/>
      </c>
      <c r="G301" t="str">
        <f ca="1">IF(F301="","",$B$6+C301*$B$5-SUM($F$2:F301))</f>
        <v/>
      </c>
    </row>
    <row r="302" spans="4:7" x14ac:dyDescent="0.25">
      <c r="D302" t="str">
        <f ca="1">IF(SUM($D$2:D301)&gt;$B$4,"",D301+_xll.RiskExpon($B$3))</f>
        <v/>
      </c>
      <c r="E302" t="str">
        <f t="shared" ca="1" si="4"/>
        <v/>
      </c>
      <c r="F302" t="str">
        <f ca="1">IF(E302="","",_xll.RiskGamma($B$1,$B$2))</f>
        <v/>
      </c>
      <c r="G302" t="str">
        <f ca="1">IF(F302="","",$B$6+C302*$B$5-SUM($F$2:F302))</f>
        <v/>
      </c>
    </row>
    <row r="303" spans="4:7" x14ac:dyDescent="0.25">
      <c r="D303" t="str">
        <f ca="1">IF(SUM($D$2:D302)&gt;$B$4,"",D302+_xll.RiskExpon($B$3))</f>
        <v/>
      </c>
      <c r="E303" t="str">
        <f t="shared" ca="1" si="4"/>
        <v/>
      </c>
      <c r="F303" t="str">
        <f ca="1">IF(E303="","",_xll.RiskGamma($B$1,$B$2))</f>
        <v/>
      </c>
      <c r="G303" t="str">
        <f ca="1">IF(F303="","",$B$6+C303*$B$5-SUM($F$2:F303))</f>
        <v/>
      </c>
    </row>
    <row r="304" spans="4:7" x14ac:dyDescent="0.25">
      <c r="D304" t="str">
        <f ca="1">IF(SUM($D$2:D303)&gt;$B$4,"",D303+_xll.RiskExpon($B$3))</f>
        <v/>
      </c>
      <c r="E304" t="str">
        <f t="shared" ca="1" si="4"/>
        <v/>
      </c>
      <c r="F304" t="str">
        <f ca="1">IF(E304="","",_xll.RiskGamma($B$1,$B$2))</f>
        <v/>
      </c>
      <c r="G304" t="str">
        <f ca="1">IF(F304="","",$B$6+C304*$B$5-SUM($F$2:F304))</f>
        <v/>
      </c>
    </row>
    <row r="305" spans="4:7" x14ac:dyDescent="0.25">
      <c r="D305" t="str">
        <f ca="1">IF(SUM($D$2:D304)&gt;$B$4,"",D304+_xll.RiskExpon($B$3))</f>
        <v/>
      </c>
      <c r="E305" t="str">
        <f t="shared" ca="1" si="4"/>
        <v/>
      </c>
      <c r="F305" t="str">
        <f ca="1">IF(E305="","",_xll.RiskGamma($B$1,$B$2))</f>
        <v/>
      </c>
      <c r="G305" t="str">
        <f ca="1">IF(F305="","",$B$6+C305*$B$5-SUM($F$2:F305))</f>
        <v/>
      </c>
    </row>
    <row r="306" spans="4:7" x14ac:dyDescent="0.25">
      <c r="D306" t="str">
        <f ca="1">IF(SUM($D$2:D305)&gt;$B$4,"",D305+_xll.RiskExpon($B$3))</f>
        <v/>
      </c>
      <c r="E306" t="str">
        <f t="shared" ca="1" si="4"/>
        <v/>
      </c>
      <c r="F306" t="str">
        <f ca="1">IF(E306="","",_xll.RiskGamma($B$1,$B$2))</f>
        <v/>
      </c>
      <c r="G306" t="str">
        <f ca="1">IF(F306="","",$B$6+C306*$B$5-SUM($F$2:F306))</f>
        <v/>
      </c>
    </row>
    <row r="307" spans="4:7" x14ac:dyDescent="0.25">
      <c r="D307" t="str">
        <f ca="1">IF(SUM($D$2:D306)&gt;$B$4,"",D306+_xll.RiskExpon($B$3))</f>
        <v/>
      </c>
      <c r="E307" t="str">
        <f t="shared" ca="1" si="4"/>
        <v/>
      </c>
      <c r="F307" t="str">
        <f ca="1">IF(E307="","",_xll.RiskGamma($B$1,$B$2))</f>
        <v/>
      </c>
      <c r="G307" t="str">
        <f ca="1">IF(F307="","",$B$6+C307*$B$5-SUM($F$2:F307))</f>
        <v/>
      </c>
    </row>
    <row r="308" spans="4:7" x14ac:dyDescent="0.25">
      <c r="D308" t="str">
        <f ca="1">IF(SUM($D$2:D307)&gt;$B$4,"",D307+_xll.RiskExpon($B$3))</f>
        <v/>
      </c>
      <c r="E308" t="str">
        <f t="shared" ca="1" si="4"/>
        <v/>
      </c>
      <c r="F308" t="str">
        <f ca="1">IF(E308="","",_xll.RiskGamma($B$1,$B$2))</f>
        <v/>
      </c>
      <c r="G308" t="str">
        <f ca="1">IF(F308="","",$B$6+C308*$B$5-SUM($F$2:F308))</f>
        <v/>
      </c>
    </row>
    <row r="309" spans="4:7" x14ac:dyDescent="0.25">
      <c r="D309" t="str">
        <f ca="1">IF(SUM($D$2:D308)&gt;$B$4,"",D308+_xll.RiskExpon($B$3))</f>
        <v/>
      </c>
      <c r="E309" t="str">
        <f t="shared" ca="1" si="4"/>
        <v/>
      </c>
      <c r="F309" t="str">
        <f ca="1">IF(E309="","",_xll.RiskGamma($B$1,$B$2))</f>
        <v/>
      </c>
      <c r="G309" t="str">
        <f ca="1">IF(F309="","",$B$6+C309*$B$5-SUM($F$2:F309))</f>
        <v/>
      </c>
    </row>
    <row r="310" spans="4:7" x14ac:dyDescent="0.25">
      <c r="D310" t="str">
        <f ca="1">IF(SUM($D$2:D309)&gt;$B$4,"",D309+_xll.RiskExpon($B$3))</f>
        <v/>
      </c>
      <c r="E310" t="str">
        <f t="shared" ca="1" si="4"/>
        <v/>
      </c>
      <c r="F310" t="str">
        <f ca="1">IF(E310="","",_xll.RiskGamma($B$1,$B$2))</f>
        <v/>
      </c>
      <c r="G310" t="str">
        <f ca="1">IF(F310="","",$B$6+C310*$B$5-SUM($F$2:F310))</f>
        <v/>
      </c>
    </row>
    <row r="311" spans="4:7" x14ac:dyDescent="0.25">
      <c r="D311" t="str">
        <f ca="1">IF(SUM($D$2:D310)&gt;$B$4,"",D310+_xll.RiskExpon($B$3))</f>
        <v/>
      </c>
      <c r="E311" t="str">
        <f t="shared" ca="1" si="4"/>
        <v/>
      </c>
      <c r="F311" t="str">
        <f ca="1">IF(E311="","",_xll.RiskGamma($B$1,$B$2))</f>
        <v/>
      </c>
      <c r="G311" t="str">
        <f ca="1">IF(F311="","",$B$6+C311*$B$5-SUM($F$2:F311))</f>
        <v/>
      </c>
    </row>
    <row r="312" spans="4:7" x14ac:dyDescent="0.25">
      <c r="D312" t="str">
        <f ca="1">IF(SUM($D$2:D311)&gt;$B$4,"",D311+_xll.RiskExpon($B$3))</f>
        <v/>
      </c>
      <c r="E312" t="str">
        <f t="shared" ca="1" si="4"/>
        <v/>
      </c>
      <c r="F312" t="str">
        <f ca="1">IF(E312="","",_xll.RiskGamma($B$1,$B$2))</f>
        <v/>
      </c>
      <c r="G312" t="str">
        <f ca="1">IF(F312="","",$B$6+C312*$B$5-SUM($F$2:F312))</f>
        <v/>
      </c>
    </row>
    <row r="313" spans="4:7" x14ac:dyDescent="0.25">
      <c r="D313" t="str">
        <f ca="1">IF(SUM($D$2:D312)&gt;$B$4,"",D312+_xll.RiskExpon($B$3))</f>
        <v/>
      </c>
      <c r="E313" t="str">
        <f t="shared" ca="1" si="4"/>
        <v/>
      </c>
      <c r="F313" t="str">
        <f ca="1">IF(E313="","",_xll.RiskGamma($B$1,$B$2))</f>
        <v/>
      </c>
      <c r="G313" t="str">
        <f ca="1">IF(F313="","",$B$6+C313*$B$5-SUM($F$2:F313))</f>
        <v/>
      </c>
    </row>
    <row r="314" spans="4:7" x14ac:dyDescent="0.25">
      <c r="D314" t="str">
        <f ca="1">IF(SUM($D$2:D313)&gt;$B$4,"",D313+_xll.RiskExpon($B$3))</f>
        <v/>
      </c>
      <c r="E314" t="str">
        <f t="shared" ca="1" si="4"/>
        <v/>
      </c>
      <c r="F314" t="str">
        <f ca="1">IF(E314="","",_xll.RiskGamma($B$1,$B$2))</f>
        <v/>
      </c>
      <c r="G314" t="str">
        <f ca="1">IF(F314="","",$B$6+C314*$B$5-SUM($F$2:F314))</f>
        <v/>
      </c>
    </row>
    <row r="315" spans="4:7" x14ac:dyDescent="0.25">
      <c r="D315" t="str">
        <f ca="1">IF(SUM($D$2:D314)&gt;$B$4,"",D314+_xll.RiskExpon($B$3))</f>
        <v/>
      </c>
      <c r="E315" t="str">
        <f t="shared" ca="1" si="4"/>
        <v/>
      </c>
      <c r="F315" t="str">
        <f ca="1">IF(E315="","",_xll.RiskGamma($B$1,$B$2))</f>
        <v/>
      </c>
      <c r="G315" t="str">
        <f ca="1">IF(F315="","",$B$6+C315*$B$5-SUM($F$2:F315))</f>
        <v/>
      </c>
    </row>
    <row r="316" spans="4:7" x14ac:dyDescent="0.25">
      <c r="D316" t="str">
        <f ca="1">IF(SUM($D$2:D315)&gt;$B$4,"",D315+_xll.RiskExpon($B$3))</f>
        <v/>
      </c>
      <c r="E316" t="str">
        <f t="shared" ca="1" si="4"/>
        <v/>
      </c>
      <c r="F316" t="str">
        <f ca="1">IF(E316="","",_xll.RiskGamma($B$1,$B$2))</f>
        <v/>
      </c>
      <c r="G316" t="str">
        <f ca="1">IF(F316="","",$B$6+C316*$B$5-SUM($F$2:F316))</f>
        <v/>
      </c>
    </row>
    <row r="317" spans="4:7" x14ac:dyDescent="0.25">
      <c r="D317" t="str">
        <f ca="1">IF(SUM($D$2:D316)&gt;$B$4,"",D316+_xll.RiskExpon($B$3))</f>
        <v/>
      </c>
      <c r="E317" t="str">
        <f t="shared" ca="1" si="4"/>
        <v/>
      </c>
      <c r="F317" t="str">
        <f ca="1">IF(E317="","",_xll.RiskGamma($B$1,$B$2))</f>
        <v/>
      </c>
      <c r="G317" t="str">
        <f ca="1">IF(F317="","",$B$6+C317*$B$5-SUM($F$2:F317))</f>
        <v/>
      </c>
    </row>
    <row r="318" spans="4:7" x14ac:dyDescent="0.25">
      <c r="D318" t="str">
        <f ca="1">IF(SUM($D$2:D317)&gt;$B$4,"",D317+_xll.RiskExpon($B$3))</f>
        <v/>
      </c>
      <c r="E318" t="str">
        <f t="shared" ca="1" si="4"/>
        <v/>
      </c>
      <c r="F318" t="str">
        <f ca="1">IF(E318="","",_xll.RiskGamma($B$1,$B$2))</f>
        <v/>
      </c>
      <c r="G318" t="str">
        <f ca="1">IF(F318="","",$B$6+C318*$B$5-SUM($F$2:F318))</f>
        <v/>
      </c>
    </row>
    <row r="319" spans="4:7" x14ac:dyDescent="0.25">
      <c r="D319" t="str">
        <f ca="1">IF(SUM($D$2:D318)&gt;$B$4,"",D318+_xll.RiskExpon($B$3))</f>
        <v/>
      </c>
      <c r="E319" t="str">
        <f t="shared" ca="1" si="4"/>
        <v/>
      </c>
      <c r="F319" t="str">
        <f ca="1">IF(E319="","",_xll.RiskGamma($B$1,$B$2))</f>
        <v/>
      </c>
      <c r="G319" t="str">
        <f ca="1">IF(F319="","",$B$6+C319*$B$5-SUM($F$2:F319))</f>
        <v/>
      </c>
    </row>
    <row r="320" spans="4:7" x14ac:dyDescent="0.25">
      <c r="D320" t="str">
        <f ca="1">IF(SUM($D$2:D319)&gt;$B$4,"",D319+_xll.RiskExpon($B$3))</f>
        <v/>
      </c>
      <c r="E320" t="str">
        <f t="shared" ca="1" si="4"/>
        <v/>
      </c>
      <c r="F320" t="str">
        <f ca="1">IF(E320="","",_xll.RiskGamma($B$1,$B$2))</f>
        <v/>
      </c>
      <c r="G320" t="str">
        <f ca="1">IF(F320="","",$B$6+C320*$B$5-SUM($F$2:F320))</f>
        <v/>
      </c>
    </row>
    <row r="321" spans="4:7" x14ac:dyDescent="0.25">
      <c r="D321" t="str">
        <f ca="1">IF(SUM($D$2:D320)&gt;$B$4,"",D320+_xll.RiskExpon($B$3))</f>
        <v/>
      </c>
      <c r="E321" t="str">
        <f t="shared" ca="1" si="4"/>
        <v/>
      </c>
      <c r="F321" t="str">
        <f ca="1">IF(E321="","",_xll.RiskGamma($B$1,$B$2))</f>
        <v/>
      </c>
      <c r="G321" t="str">
        <f ca="1">IF(F321="","",$B$6+C321*$B$5-SUM($F$2:F321))</f>
        <v/>
      </c>
    </row>
    <row r="322" spans="4:7" x14ac:dyDescent="0.25">
      <c r="D322" t="str">
        <f ca="1">IF(SUM($D$2:D321)&gt;$B$4,"",D321+_xll.RiskExpon($B$3))</f>
        <v/>
      </c>
      <c r="E322" t="str">
        <f t="shared" ca="1" si="4"/>
        <v/>
      </c>
      <c r="F322" t="str">
        <f ca="1">IF(E322="","",_xll.RiskGamma($B$1,$B$2))</f>
        <v/>
      </c>
      <c r="G322" t="str">
        <f ca="1">IF(F322="","",$B$6+C322*$B$5-SUM($F$2:F322))</f>
        <v/>
      </c>
    </row>
    <row r="323" spans="4:7" x14ac:dyDescent="0.25">
      <c r="D323" t="str">
        <f ca="1">IF(SUM($D$2:D322)&gt;$B$4,"",D322+_xll.RiskExpon($B$3))</f>
        <v/>
      </c>
      <c r="E323" t="str">
        <f t="shared" ca="1" si="4"/>
        <v/>
      </c>
      <c r="F323" t="str">
        <f ca="1">IF(E323="","",_xll.RiskGamma($B$1,$B$2))</f>
        <v/>
      </c>
      <c r="G323" t="str">
        <f ca="1">IF(F323="","",$B$6+C323*$B$5-SUM($F$2:F323))</f>
        <v/>
      </c>
    </row>
    <row r="324" spans="4:7" x14ac:dyDescent="0.25">
      <c r="D324" t="str">
        <f ca="1">IF(SUM($D$2:D323)&gt;$B$4,"",D323+_xll.RiskExpon($B$3))</f>
        <v/>
      </c>
      <c r="E324" t="str">
        <f t="shared" ref="E324:E387" ca="1" si="5">IF(E323&lt;$B$7,E323+1,"")</f>
        <v/>
      </c>
      <c r="F324" t="str">
        <f ca="1">IF(E324="","",_xll.RiskGamma($B$1,$B$2))</f>
        <v/>
      </c>
      <c r="G324" t="str">
        <f ca="1">IF(F324="","",$B$6+C324*$B$5-SUM($F$2:F324))</f>
        <v/>
      </c>
    </row>
    <row r="325" spans="4:7" x14ac:dyDescent="0.25">
      <c r="D325" t="str">
        <f ca="1">IF(SUM($D$2:D324)&gt;$B$4,"",D324+_xll.RiskExpon($B$3))</f>
        <v/>
      </c>
      <c r="E325" t="str">
        <f t="shared" ca="1" si="5"/>
        <v/>
      </c>
      <c r="F325" t="str">
        <f ca="1">IF(E325="","",_xll.RiskGamma($B$1,$B$2))</f>
        <v/>
      </c>
      <c r="G325" t="str">
        <f ca="1">IF(F325="","",$B$6+C325*$B$5-SUM($F$2:F325))</f>
        <v/>
      </c>
    </row>
    <row r="326" spans="4:7" x14ac:dyDescent="0.25">
      <c r="D326" t="str">
        <f ca="1">IF(SUM($D$2:D325)&gt;$B$4,"",D325+_xll.RiskExpon($B$3))</f>
        <v/>
      </c>
      <c r="E326" t="str">
        <f t="shared" ca="1" si="5"/>
        <v/>
      </c>
      <c r="F326" t="str">
        <f ca="1">IF(E326="","",_xll.RiskGamma($B$1,$B$2))</f>
        <v/>
      </c>
      <c r="G326" t="str">
        <f ca="1">IF(F326="","",$B$6+C326*$B$5-SUM($F$2:F326))</f>
        <v/>
      </c>
    </row>
    <row r="327" spans="4:7" x14ac:dyDescent="0.25">
      <c r="D327" t="str">
        <f ca="1">IF(SUM($D$2:D326)&gt;$B$4,"",D326+_xll.RiskExpon($B$3))</f>
        <v/>
      </c>
      <c r="E327" t="str">
        <f t="shared" ca="1" si="5"/>
        <v/>
      </c>
      <c r="F327" t="str">
        <f ca="1">IF(E327="","",_xll.RiskGamma($B$1,$B$2))</f>
        <v/>
      </c>
      <c r="G327" t="str">
        <f ca="1">IF(F327="","",$B$6+C327*$B$5-SUM($F$2:F327))</f>
        <v/>
      </c>
    </row>
    <row r="328" spans="4:7" x14ac:dyDescent="0.25">
      <c r="D328" t="str">
        <f ca="1">IF(SUM($D$2:D327)&gt;$B$4,"",D327+_xll.RiskExpon($B$3))</f>
        <v/>
      </c>
      <c r="E328" t="str">
        <f t="shared" ca="1" si="5"/>
        <v/>
      </c>
      <c r="F328" t="str">
        <f ca="1">IF(E328="","",_xll.RiskGamma($B$1,$B$2))</f>
        <v/>
      </c>
      <c r="G328" t="str">
        <f ca="1">IF(F328="","",$B$6+C328*$B$5-SUM($F$2:F328))</f>
        <v/>
      </c>
    </row>
    <row r="329" spans="4:7" x14ac:dyDescent="0.25">
      <c r="D329" t="str">
        <f ca="1">IF(SUM($D$2:D328)&gt;$B$4,"",D328+_xll.RiskExpon($B$3))</f>
        <v/>
      </c>
      <c r="E329" t="str">
        <f t="shared" ca="1" si="5"/>
        <v/>
      </c>
      <c r="F329" t="str">
        <f ca="1">IF(E329="","",_xll.RiskGamma($B$1,$B$2))</f>
        <v/>
      </c>
      <c r="G329" t="str">
        <f ca="1">IF(F329="","",$B$6+C329*$B$5-SUM($F$2:F329))</f>
        <v/>
      </c>
    </row>
    <row r="330" spans="4:7" x14ac:dyDescent="0.25">
      <c r="D330" t="str">
        <f ca="1">IF(SUM($D$2:D329)&gt;$B$4,"",D329+_xll.RiskExpon($B$3))</f>
        <v/>
      </c>
      <c r="E330" t="str">
        <f t="shared" ca="1" si="5"/>
        <v/>
      </c>
      <c r="F330" t="str">
        <f ca="1">IF(E330="","",_xll.RiskGamma($B$1,$B$2))</f>
        <v/>
      </c>
      <c r="G330" t="str">
        <f ca="1">IF(F330="","",$B$6+C330*$B$5-SUM($F$2:F330))</f>
        <v/>
      </c>
    </row>
    <row r="331" spans="4:7" x14ac:dyDescent="0.25">
      <c r="D331" t="str">
        <f ca="1">IF(SUM($D$2:D330)&gt;$B$4,"",D330+_xll.RiskExpon($B$3))</f>
        <v/>
      </c>
      <c r="E331" t="str">
        <f t="shared" ca="1" si="5"/>
        <v/>
      </c>
      <c r="F331" t="str">
        <f ca="1">IF(E331="","",_xll.RiskGamma($B$1,$B$2))</f>
        <v/>
      </c>
      <c r="G331" t="str">
        <f ca="1">IF(F331="","",$B$6+C331*$B$5-SUM($F$2:F331))</f>
        <v/>
      </c>
    </row>
    <row r="332" spans="4:7" x14ac:dyDescent="0.25">
      <c r="D332" t="str">
        <f ca="1">IF(SUM($D$2:D331)&gt;$B$4,"",D331+_xll.RiskExpon($B$3))</f>
        <v/>
      </c>
      <c r="E332" t="str">
        <f t="shared" ca="1" si="5"/>
        <v/>
      </c>
      <c r="F332" t="str">
        <f ca="1">IF(E332="","",_xll.RiskGamma($B$1,$B$2))</f>
        <v/>
      </c>
      <c r="G332" t="str">
        <f ca="1">IF(F332="","",$B$6+C332*$B$5-SUM($F$2:F332))</f>
        <v/>
      </c>
    </row>
    <row r="333" spans="4:7" x14ac:dyDescent="0.25">
      <c r="D333" t="str">
        <f ca="1">IF(SUM($D$2:D332)&gt;$B$4,"",D332+_xll.RiskExpon($B$3))</f>
        <v/>
      </c>
      <c r="E333" t="str">
        <f t="shared" ca="1" si="5"/>
        <v/>
      </c>
      <c r="F333" t="str">
        <f ca="1">IF(E333="","",_xll.RiskGamma($B$1,$B$2))</f>
        <v/>
      </c>
      <c r="G333" t="str">
        <f ca="1">IF(F333="","",$B$6+C333*$B$5-SUM($F$2:F333))</f>
        <v/>
      </c>
    </row>
    <row r="334" spans="4:7" x14ac:dyDescent="0.25">
      <c r="D334" t="str">
        <f ca="1">IF(SUM($D$2:D333)&gt;$B$4,"",D333+_xll.RiskExpon($B$3))</f>
        <v/>
      </c>
      <c r="E334" t="str">
        <f t="shared" ca="1" si="5"/>
        <v/>
      </c>
      <c r="F334" t="str">
        <f ca="1">IF(E334="","",_xll.RiskGamma($B$1,$B$2))</f>
        <v/>
      </c>
      <c r="G334" t="str">
        <f ca="1">IF(F334="","",$B$6+C334*$B$5-SUM($F$2:F334))</f>
        <v/>
      </c>
    </row>
    <row r="335" spans="4:7" x14ac:dyDescent="0.25">
      <c r="D335" t="str">
        <f ca="1">IF(SUM($D$2:D334)&gt;$B$4,"",D334+_xll.RiskExpon($B$3))</f>
        <v/>
      </c>
      <c r="E335" t="str">
        <f t="shared" ca="1" si="5"/>
        <v/>
      </c>
      <c r="F335" t="str">
        <f ca="1">IF(E335="","",_xll.RiskGamma($B$1,$B$2))</f>
        <v/>
      </c>
      <c r="G335" t="str">
        <f ca="1">IF(F335="","",$B$6+C335*$B$5-SUM($F$2:F335))</f>
        <v/>
      </c>
    </row>
    <row r="336" spans="4:7" x14ac:dyDescent="0.25">
      <c r="D336" t="str">
        <f ca="1">IF(SUM($D$2:D335)&gt;$B$4,"",D335+_xll.RiskExpon($B$3))</f>
        <v/>
      </c>
      <c r="E336" t="str">
        <f t="shared" ca="1" si="5"/>
        <v/>
      </c>
      <c r="F336" t="str">
        <f ca="1">IF(E336="","",_xll.RiskGamma($B$1,$B$2))</f>
        <v/>
      </c>
      <c r="G336" t="str">
        <f ca="1">IF(F336="","",$B$6+C336*$B$5-SUM($F$2:F336))</f>
        <v/>
      </c>
    </row>
    <row r="337" spans="4:7" x14ac:dyDescent="0.25">
      <c r="D337" t="str">
        <f ca="1">IF(SUM($D$2:D336)&gt;$B$4,"",D336+_xll.RiskExpon($B$3))</f>
        <v/>
      </c>
      <c r="E337" t="str">
        <f t="shared" ca="1" si="5"/>
        <v/>
      </c>
      <c r="F337" t="str">
        <f ca="1">IF(E337="","",_xll.RiskGamma($B$1,$B$2))</f>
        <v/>
      </c>
      <c r="G337" t="str">
        <f ca="1">IF(F337="","",$B$6+C337*$B$5-SUM($F$2:F337))</f>
        <v/>
      </c>
    </row>
    <row r="338" spans="4:7" x14ac:dyDescent="0.25">
      <c r="D338" t="str">
        <f ca="1">IF(SUM($D$2:D337)&gt;$B$4,"",D337+_xll.RiskExpon($B$3))</f>
        <v/>
      </c>
      <c r="E338" t="str">
        <f t="shared" ca="1" si="5"/>
        <v/>
      </c>
      <c r="F338" t="str">
        <f ca="1">IF(E338="","",_xll.RiskGamma($B$1,$B$2))</f>
        <v/>
      </c>
      <c r="G338" t="str">
        <f ca="1">IF(F338="","",$B$6+C338*$B$5-SUM($F$2:F338))</f>
        <v/>
      </c>
    </row>
    <row r="339" spans="4:7" x14ac:dyDescent="0.25">
      <c r="D339" t="str">
        <f ca="1">IF(SUM($D$2:D338)&gt;$B$4,"",D338+_xll.RiskExpon($B$3))</f>
        <v/>
      </c>
      <c r="E339" t="str">
        <f t="shared" ca="1" si="5"/>
        <v/>
      </c>
      <c r="F339" t="str">
        <f ca="1">IF(E339="","",_xll.RiskGamma($B$1,$B$2))</f>
        <v/>
      </c>
      <c r="G339" t="str">
        <f ca="1">IF(F339="","",$B$6+C339*$B$5-SUM($F$2:F339))</f>
        <v/>
      </c>
    </row>
    <row r="340" spans="4:7" x14ac:dyDescent="0.25">
      <c r="D340" t="str">
        <f ca="1">IF(SUM($D$2:D339)&gt;$B$4,"",D339+_xll.RiskExpon($B$3))</f>
        <v/>
      </c>
      <c r="E340" t="str">
        <f t="shared" ca="1" si="5"/>
        <v/>
      </c>
      <c r="F340" t="str">
        <f ca="1">IF(E340="","",_xll.RiskGamma($B$1,$B$2))</f>
        <v/>
      </c>
      <c r="G340" t="str">
        <f ca="1">IF(F340="","",$B$6+C340*$B$5-SUM($F$2:F340))</f>
        <v/>
      </c>
    </row>
    <row r="341" spans="4:7" x14ac:dyDescent="0.25">
      <c r="D341" t="str">
        <f ca="1">IF(SUM($D$2:D340)&gt;$B$4,"",D340+_xll.RiskExpon($B$3))</f>
        <v/>
      </c>
      <c r="E341" t="str">
        <f t="shared" ca="1" si="5"/>
        <v/>
      </c>
      <c r="F341" t="str">
        <f ca="1">IF(E341="","",_xll.RiskGamma($B$1,$B$2))</f>
        <v/>
      </c>
      <c r="G341" t="str">
        <f ca="1">IF(F341="","",$B$6+C341*$B$5-SUM($F$2:F341))</f>
        <v/>
      </c>
    </row>
    <row r="342" spans="4:7" x14ac:dyDescent="0.25">
      <c r="D342" t="str">
        <f ca="1">IF(SUM($D$2:D341)&gt;$B$4,"",D341+_xll.RiskExpon($B$3))</f>
        <v/>
      </c>
      <c r="E342" t="str">
        <f t="shared" ca="1" si="5"/>
        <v/>
      </c>
      <c r="F342" t="str">
        <f ca="1">IF(E342="","",_xll.RiskGamma($B$1,$B$2))</f>
        <v/>
      </c>
      <c r="G342" t="str">
        <f ca="1">IF(F342="","",$B$6+C342*$B$5-SUM($F$2:F342))</f>
        <v/>
      </c>
    </row>
    <row r="343" spans="4:7" x14ac:dyDescent="0.25">
      <c r="D343" t="str">
        <f ca="1">IF(SUM($D$2:D342)&gt;$B$4,"",D342+_xll.RiskExpon($B$3))</f>
        <v/>
      </c>
      <c r="E343" t="str">
        <f t="shared" ca="1" si="5"/>
        <v/>
      </c>
      <c r="F343" t="str">
        <f ca="1">IF(E343="","",_xll.RiskGamma($B$1,$B$2))</f>
        <v/>
      </c>
      <c r="G343" t="str">
        <f ca="1">IF(F343="","",$B$6+C343*$B$5-SUM($F$2:F343))</f>
        <v/>
      </c>
    </row>
    <row r="344" spans="4:7" x14ac:dyDescent="0.25">
      <c r="D344" t="str">
        <f ca="1">IF(SUM($D$2:D343)&gt;$B$4,"",D343+_xll.RiskExpon($B$3))</f>
        <v/>
      </c>
      <c r="E344" t="str">
        <f t="shared" ca="1" si="5"/>
        <v/>
      </c>
      <c r="F344" t="str">
        <f ca="1">IF(E344="","",_xll.RiskGamma($B$1,$B$2))</f>
        <v/>
      </c>
      <c r="G344" t="str">
        <f ca="1">IF(F344="","",$B$6+C344*$B$5-SUM($F$2:F344))</f>
        <v/>
      </c>
    </row>
    <row r="345" spans="4:7" x14ac:dyDescent="0.25">
      <c r="D345" t="str">
        <f ca="1">IF(SUM($D$2:D344)&gt;$B$4,"",D344+_xll.RiskExpon($B$3))</f>
        <v/>
      </c>
      <c r="E345" t="str">
        <f t="shared" ca="1" si="5"/>
        <v/>
      </c>
      <c r="F345" t="str">
        <f ca="1">IF(E345="","",_xll.RiskGamma($B$1,$B$2))</f>
        <v/>
      </c>
      <c r="G345" t="str">
        <f ca="1">IF(F345="","",$B$6+C345*$B$5-SUM($F$2:F345))</f>
        <v/>
      </c>
    </row>
    <row r="346" spans="4:7" x14ac:dyDescent="0.25">
      <c r="D346" t="str">
        <f ca="1">IF(SUM($D$2:D345)&gt;$B$4,"",D345+_xll.RiskExpon($B$3))</f>
        <v/>
      </c>
      <c r="E346" t="str">
        <f t="shared" ca="1" si="5"/>
        <v/>
      </c>
      <c r="F346" t="str">
        <f ca="1">IF(E346="","",_xll.RiskGamma($B$1,$B$2))</f>
        <v/>
      </c>
      <c r="G346" t="str">
        <f ca="1">IF(F346="","",$B$6+C346*$B$5-SUM($F$2:F346))</f>
        <v/>
      </c>
    </row>
    <row r="347" spans="4:7" x14ac:dyDescent="0.25">
      <c r="D347" t="str">
        <f ca="1">IF(SUM($D$2:D346)&gt;$B$4,"",D346+_xll.RiskExpon($B$3))</f>
        <v/>
      </c>
      <c r="E347" t="str">
        <f t="shared" ca="1" si="5"/>
        <v/>
      </c>
      <c r="F347" t="str">
        <f ca="1">IF(E347="","",_xll.RiskGamma($B$1,$B$2))</f>
        <v/>
      </c>
      <c r="G347" t="str">
        <f ca="1">IF(F347="","",$B$6+C347*$B$5-SUM($F$2:F347))</f>
        <v/>
      </c>
    </row>
    <row r="348" spans="4:7" x14ac:dyDescent="0.25">
      <c r="D348" t="str">
        <f ca="1">IF(SUM($D$2:D347)&gt;$B$4,"",D347+_xll.RiskExpon($B$3))</f>
        <v/>
      </c>
      <c r="E348" t="str">
        <f t="shared" ca="1" si="5"/>
        <v/>
      </c>
      <c r="F348" t="str">
        <f ca="1">IF(E348="","",_xll.RiskGamma($B$1,$B$2))</f>
        <v/>
      </c>
      <c r="G348" t="str">
        <f ca="1">IF(F348="","",$B$6+C348*$B$5-SUM($F$2:F348))</f>
        <v/>
      </c>
    </row>
    <row r="349" spans="4:7" x14ac:dyDescent="0.25">
      <c r="D349" t="str">
        <f ca="1">IF(SUM($D$2:D348)&gt;$B$4,"",D348+_xll.RiskExpon($B$3))</f>
        <v/>
      </c>
      <c r="E349" t="str">
        <f t="shared" ca="1" si="5"/>
        <v/>
      </c>
      <c r="F349" t="str">
        <f ca="1">IF(E349="","",_xll.RiskGamma($B$1,$B$2))</f>
        <v/>
      </c>
      <c r="G349" t="str">
        <f ca="1">IF(F349="","",$B$6+C349*$B$5-SUM($F$2:F349))</f>
        <v/>
      </c>
    </row>
    <row r="350" spans="4:7" x14ac:dyDescent="0.25">
      <c r="D350" t="str">
        <f ca="1">IF(SUM($D$2:D349)&gt;$B$4,"",D349+_xll.RiskExpon($B$3))</f>
        <v/>
      </c>
      <c r="E350" t="str">
        <f t="shared" ca="1" si="5"/>
        <v/>
      </c>
      <c r="F350" t="str">
        <f ca="1">IF(E350="","",_xll.RiskGamma($B$1,$B$2))</f>
        <v/>
      </c>
      <c r="G350" t="str">
        <f ca="1">IF(F350="","",$B$6+C350*$B$5-SUM($F$2:F350))</f>
        <v/>
      </c>
    </row>
    <row r="351" spans="4:7" x14ac:dyDescent="0.25">
      <c r="D351" t="str">
        <f ca="1">IF(SUM($D$2:D350)&gt;$B$4,"",D350+_xll.RiskExpon($B$3))</f>
        <v/>
      </c>
      <c r="E351" t="str">
        <f t="shared" ca="1" si="5"/>
        <v/>
      </c>
      <c r="F351" t="str">
        <f ca="1">IF(E351="","",_xll.RiskGamma($B$1,$B$2))</f>
        <v/>
      </c>
      <c r="G351" t="str">
        <f ca="1">IF(F351="","",$B$6+C351*$B$5-SUM($F$2:F351))</f>
        <v/>
      </c>
    </row>
    <row r="352" spans="4:7" x14ac:dyDescent="0.25">
      <c r="D352" t="str">
        <f ca="1">IF(SUM($D$2:D351)&gt;$B$4,"",D351+_xll.RiskExpon($B$3))</f>
        <v/>
      </c>
      <c r="E352" t="str">
        <f t="shared" ca="1" si="5"/>
        <v/>
      </c>
      <c r="F352" t="str">
        <f ca="1">IF(E352="","",_xll.RiskGamma($B$1,$B$2))</f>
        <v/>
      </c>
      <c r="G352" t="str">
        <f ca="1">IF(F352="","",$B$6+C352*$B$5-SUM($F$2:F352))</f>
        <v/>
      </c>
    </row>
    <row r="353" spans="4:7" x14ac:dyDescent="0.25">
      <c r="D353" t="str">
        <f ca="1">IF(SUM($D$2:D352)&gt;$B$4,"",D352+_xll.RiskExpon($B$3))</f>
        <v/>
      </c>
      <c r="E353" t="str">
        <f t="shared" ca="1" si="5"/>
        <v/>
      </c>
      <c r="F353" t="str">
        <f ca="1">IF(E353="","",_xll.RiskGamma($B$1,$B$2))</f>
        <v/>
      </c>
      <c r="G353" t="str">
        <f ca="1">IF(F353="","",$B$6+C353*$B$5-SUM($F$2:F353))</f>
        <v/>
      </c>
    </row>
    <row r="354" spans="4:7" x14ac:dyDescent="0.25">
      <c r="D354" t="str">
        <f ca="1">IF(SUM($D$2:D353)&gt;$B$4,"",D353+_xll.RiskExpon($B$3))</f>
        <v/>
      </c>
      <c r="E354" t="str">
        <f t="shared" ca="1" si="5"/>
        <v/>
      </c>
      <c r="F354" t="str">
        <f ca="1">IF(E354="","",_xll.RiskGamma($B$1,$B$2))</f>
        <v/>
      </c>
      <c r="G354" t="str">
        <f ca="1">IF(F354="","",$B$6+C354*$B$5-SUM($F$2:F354))</f>
        <v/>
      </c>
    </row>
    <row r="355" spans="4:7" x14ac:dyDescent="0.25">
      <c r="D355" t="str">
        <f ca="1">IF(SUM($D$2:D354)&gt;$B$4,"",D354+_xll.RiskExpon($B$3))</f>
        <v/>
      </c>
      <c r="E355" t="str">
        <f t="shared" ca="1" si="5"/>
        <v/>
      </c>
      <c r="F355" t="str">
        <f ca="1">IF(E355="","",_xll.RiskGamma($B$1,$B$2))</f>
        <v/>
      </c>
      <c r="G355" t="str">
        <f ca="1">IF(F355="","",$B$6+C355*$B$5-SUM($F$2:F355))</f>
        <v/>
      </c>
    </row>
    <row r="356" spans="4:7" x14ac:dyDescent="0.25">
      <c r="D356" t="str">
        <f ca="1">IF(SUM($D$2:D355)&gt;$B$4,"",D355+_xll.RiskExpon($B$3))</f>
        <v/>
      </c>
      <c r="E356" t="str">
        <f t="shared" ca="1" si="5"/>
        <v/>
      </c>
      <c r="F356" t="str">
        <f ca="1">IF(E356="","",_xll.RiskGamma($B$1,$B$2))</f>
        <v/>
      </c>
      <c r="G356" t="str">
        <f ca="1">IF(F356="","",$B$6+C356*$B$5-SUM($F$2:F356))</f>
        <v/>
      </c>
    </row>
    <row r="357" spans="4:7" x14ac:dyDescent="0.25">
      <c r="D357" t="str">
        <f ca="1">IF(SUM($D$2:D356)&gt;$B$4,"",D356+_xll.RiskExpon($B$3))</f>
        <v/>
      </c>
      <c r="E357" t="str">
        <f t="shared" ca="1" si="5"/>
        <v/>
      </c>
      <c r="F357" t="str">
        <f ca="1">IF(E357="","",_xll.RiskGamma($B$1,$B$2))</f>
        <v/>
      </c>
      <c r="G357" t="str">
        <f ca="1">IF(F357="","",$B$6+C357*$B$5-SUM($F$2:F357))</f>
        <v/>
      </c>
    </row>
    <row r="358" spans="4:7" x14ac:dyDescent="0.25">
      <c r="D358" t="str">
        <f ca="1">IF(SUM($D$2:D357)&gt;$B$4,"",D357+_xll.RiskExpon($B$3))</f>
        <v/>
      </c>
      <c r="E358" t="str">
        <f t="shared" ca="1" si="5"/>
        <v/>
      </c>
      <c r="F358" t="str">
        <f ca="1">IF(E358="","",_xll.RiskGamma($B$1,$B$2))</f>
        <v/>
      </c>
      <c r="G358" t="str">
        <f ca="1">IF(F358="","",$B$6+C358*$B$5-SUM($F$2:F358))</f>
        <v/>
      </c>
    </row>
    <row r="359" spans="4:7" x14ac:dyDescent="0.25">
      <c r="D359" t="str">
        <f ca="1">IF(SUM($D$2:D358)&gt;$B$4,"",D358+_xll.RiskExpon($B$3))</f>
        <v/>
      </c>
      <c r="E359" t="str">
        <f t="shared" ca="1" si="5"/>
        <v/>
      </c>
      <c r="F359" t="str">
        <f ca="1">IF(E359="","",_xll.RiskGamma($B$1,$B$2))</f>
        <v/>
      </c>
      <c r="G359" t="str">
        <f ca="1">IF(F359="","",$B$6+C359*$B$5-SUM($F$2:F359))</f>
        <v/>
      </c>
    </row>
    <row r="360" spans="4:7" x14ac:dyDescent="0.25">
      <c r="D360" t="str">
        <f ca="1">IF(SUM($D$2:D359)&gt;$B$4,"",D359+_xll.RiskExpon($B$3))</f>
        <v/>
      </c>
      <c r="E360" t="str">
        <f t="shared" ca="1" si="5"/>
        <v/>
      </c>
      <c r="F360" t="str">
        <f ca="1">IF(E360="","",_xll.RiskGamma($B$1,$B$2))</f>
        <v/>
      </c>
      <c r="G360" t="str">
        <f ca="1">IF(F360="","",$B$6+C360*$B$5-SUM($F$2:F360))</f>
        <v/>
      </c>
    </row>
    <row r="361" spans="4:7" x14ac:dyDescent="0.25">
      <c r="D361" t="str">
        <f ca="1">IF(SUM($D$2:D360)&gt;$B$4,"",D360+_xll.RiskExpon($B$3))</f>
        <v/>
      </c>
      <c r="E361" t="str">
        <f t="shared" ca="1" si="5"/>
        <v/>
      </c>
      <c r="F361" t="str">
        <f ca="1">IF(E361="","",_xll.RiskGamma($B$1,$B$2))</f>
        <v/>
      </c>
      <c r="G361" t="str">
        <f ca="1">IF(F361="","",$B$6+C361*$B$5-SUM($F$2:F361))</f>
        <v/>
      </c>
    </row>
    <row r="362" spans="4:7" x14ac:dyDescent="0.25">
      <c r="D362" t="str">
        <f ca="1">IF(SUM($D$2:D361)&gt;$B$4,"",D361+_xll.RiskExpon($B$3))</f>
        <v/>
      </c>
      <c r="E362" t="str">
        <f t="shared" ca="1" si="5"/>
        <v/>
      </c>
      <c r="F362" t="str">
        <f ca="1">IF(E362="","",_xll.RiskGamma($B$1,$B$2))</f>
        <v/>
      </c>
      <c r="G362" t="str">
        <f ca="1">IF(F362="","",$B$6+C362*$B$5-SUM($F$2:F362))</f>
        <v/>
      </c>
    </row>
    <row r="363" spans="4:7" x14ac:dyDescent="0.25">
      <c r="D363" t="str">
        <f ca="1">IF(SUM($D$2:D362)&gt;$B$4,"",D362+_xll.RiskExpon($B$3))</f>
        <v/>
      </c>
      <c r="E363" t="str">
        <f t="shared" ca="1" si="5"/>
        <v/>
      </c>
      <c r="F363" t="str">
        <f ca="1">IF(E363="","",_xll.RiskGamma($B$1,$B$2))</f>
        <v/>
      </c>
      <c r="G363" t="str">
        <f ca="1">IF(F363="","",$B$6+C363*$B$5-SUM($F$2:F363))</f>
        <v/>
      </c>
    </row>
    <row r="364" spans="4:7" x14ac:dyDescent="0.25">
      <c r="D364" t="str">
        <f ca="1">IF(SUM($D$2:D363)&gt;$B$4,"",D363+_xll.RiskExpon($B$3))</f>
        <v/>
      </c>
      <c r="E364" t="str">
        <f t="shared" ca="1" si="5"/>
        <v/>
      </c>
      <c r="F364" t="str">
        <f ca="1">IF(E364="","",_xll.RiskGamma($B$1,$B$2))</f>
        <v/>
      </c>
      <c r="G364" t="str">
        <f ca="1">IF(F364="","",$B$6+C364*$B$5-SUM($F$2:F364))</f>
        <v/>
      </c>
    </row>
    <row r="365" spans="4:7" x14ac:dyDescent="0.25">
      <c r="D365" t="str">
        <f ca="1">IF(SUM($D$2:D364)&gt;$B$4,"",D364+_xll.RiskExpon($B$3))</f>
        <v/>
      </c>
      <c r="E365" t="str">
        <f t="shared" ca="1" si="5"/>
        <v/>
      </c>
      <c r="F365" t="str">
        <f ca="1">IF(E365="","",_xll.RiskGamma($B$1,$B$2))</f>
        <v/>
      </c>
      <c r="G365" t="str">
        <f ca="1">IF(F365="","",$B$6+C365*$B$5-SUM($F$2:F365))</f>
        <v/>
      </c>
    </row>
    <row r="366" spans="4:7" x14ac:dyDescent="0.25">
      <c r="D366" t="str">
        <f ca="1">IF(SUM($D$2:D365)&gt;$B$4,"",D365+_xll.RiskExpon($B$3))</f>
        <v/>
      </c>
      <c r="E366" t="str">
        <f t="shared" ca="1" si="5"/>
        <v/>
      </c>
      <c r="F366" t="str">
        <f ca="1">IF(E366="","",_xll.RiskGamma($B$1,$B$2))</f>
        <v/>
      </c>
      <c r="G366" t="str">
        <f ca="1">IF(F366="","",$B$6+C366*$B$5-SUM($F$2:F366))</f>
        <v/>
      </c>
    </row>
    <row r="367" spans="4:7" x14ac:dyDescent="0.25">
      <c r="D367" t="str">
        <f ca="1">IF(SUM($D$2:D366)&gt;$B$4,"",D366+_xll.RiskExpon($B$3))</f>
        <v/>
      </c>
      <c r="E367" t="str">
        <f t="shared" ca="1" si="5"/>
        <v/>
      </c>
      <c r="F367" t="str">
        <f ca="1">IF(E367="","",_xll.RiskGamma($B$1,$B$2))</f>
        <v/>
      </c>
      <c r="G367" t="str">
        <f ca="1">IF(F367="","",$B$6+C367*$B$5-SUM($F$2:F367))</f>
        <v/>
      </c>
    </row>
    <row r="368" spans="4:7" x14ac:dyDescent="0.25">
      <c r="D368" t="str">
        <f ca="1">IF(SUM($D$2:D367)&gt;$B$4,"",D367+_xll.RiskExpon($B$3))</f>
        <v/>
      </c>
      <c r="E368" t="str">
        <f t="shared" ca="1" si="5"/>
        <v/>
      </c>
      <c r="F368" t="str">
        <f ca="1">IF(E368="","",_xll.RiskGamma($B$1,$B$2))</f>
        <v/>
      </c>
      <c r="G368" t="str">
        <f ca="1">IF(F368="","",$B$6+C368*$B$5-SUM($F$2:F368))</f>
        <v/>
      </c>
    </row>
    <row r="369" spans="4:7" x14ac:dyDescent="0.25">
      <c r="D369" t="str">
        <f ca="1">IF(SUM($D$2:D368)&gt;$B$4,"",D368+_xll.RiskExpon($B$3))</f>
        <v/>
      </c>
      <c r="E369" t="str">
        <f t="shared" ca="1" si="5"/>
        <v/>
      </c>
      <c r="F369" t="str">
        <f ca="1">IF(E369="","",_xll.RiskGamma($B$1,$B$2))</f>
        <v/>
      </c>
      <c r="G369" t="str">
        <f ca="1">IF(F369="","",$B$6+C369*$B$5-SUM($F$2:F369))</f>
        <v/>
      </c>
    </row>
    <row r="370" spans="4:7" x14ac:dyDescent="0.25">
      <c r="D370" t="str">
        <f ca="1">IF(SUM($D$2:D369)&gt;$B$4,"",D369+_xll.RiskExpon($B$3))</f>
        <v/>
      </c>
      <c r="E370" t="str">
        <f t="shared" ca="1" si="5"/>
        <v/>
      </c>
      <c r="F370" t="str">
        <f ca="1">IF(E370="","",_xll.RiskGamma($B$1,$B$2))</f>
        <v/>
      </c>
      <c r="G370" t="str">
        <f ca="1">IF(F370="","",$B$6+C370*$B$5-SUM($F$2:F370))</f>
        <v/>
      </c>
    </row>
    <row r="371" spans="4:7" x14ac:dyDescent="0.25">
      <c r="D371" t="str">
        <f ca="1">IF(SUM($D$2:D370)&gt;$B$4,"",D370+_xll.RiskExpon($B$3))</f>
        <v/>
      </c>
      <c r="E371" t="str">
        <f t="shared" ca="1" si="5"/>
        <v/>
      </c>
      <c r="F371" t="str">
        <f ca="1">IF(E371="","",_xll.RiskGamma($B$1,$B$2))</f>
        <v/>
      </c>
      <c r="G371" t="str">
        <f ca="1">IF(F371="","",$B$6+C371*$B$5-SUM($F$2:F371))</f>
        <v/>
      </c>
    </row>
    <row r="372" spans="4:7" x14ac:dyDescent="0.25">
      <c r="D372" t="str">
        <f ca="1">IF(SUM($D$2:D371)&gt;$B$4,"",D371+_xll.RiskExpon($B$3))</f>
        <v/>
      </c>
      <c r="E372" t="str">
        <f t="shared" ca="1" si="5"/>
        <v/>
      </c>
      <c r="F372" t="str">
        <f ca="1">IF(E372="","",_xll.RiskGamma($B$1,$B$2))</f>
        <v/>
      </c>
      <c r="G372" t="str">
        <f ca="1">IF(F372="","",$B$6+C372*$B$5-SUM($F$2:F372))</f>
        <v/>
      </c>
    </row>
    <row r="373" spans="4:7" x14ac:dyDescent="0.25">
      <c r="D373" t="str">
        <f ca="1">IF(SUM($D$2:D372)&gt;$B$4,"",D372+_xll.RiskExpon($B$3))</f>
        <v/>
      </c>
      <c r="E373" t="str">
        <f t="shared" ca="1" si="5"/>
        <v/>
      </c>
      <c r="F373" t="str">
        <f ca="1">IF(E373="","",_xll.RiskGamma($B$1,$B$2))</f>
        <v/>
      </c>
      <c r="G373" t="str">
        <f ca="1">IF(F373="","",$B$6+C373*$B$5-SUM($F$2:F373))</f>
        <v/>
      </c>
    </row>
    <row r="374" spans="4:7" x14ac:dyDescent="0.25">
      <c r="D374" t="str">
        <f ca="1">IF(SUM($D$2:D373)&gt;$B$4,"",D373+_xll.RiskExpon($B$3))</f>
        <v/>
      </c>
      <c r="E374" t="str">
        <f t="shared" ca="1" si="5"/>
        <v/>
      </c>
      <c r="F374" t="str">
        <f ca="1">IF(E374="","",_xll.RiskGamma($B$1,$B$2))</f>
        <v/>
      </c>
      <c r="G374" t="str">
        <f ca="1">IF(F374="","",$B$6+C374*$B$5-SUM($F$2:F374))</f>
        <v/>
      </c>
    </row>
    <row r="375" spans="4:7" x14ac:dyDescent="0.25">
      <c r="D375" t="str">
        <f ca="1">IF(SUM($D$2:D374)&gt;$B$4,"",D374+_xll.RiskExpon($B$3))</f>
        <v/>
      </c>
      <c r="E375" t="str">
        <f t="shared" ca="1" si="5"/>
        <v/>
      </c>
      <c r="F375" t="str">
        <f ca="1">IF(E375="","",_xll.RiskGamma($B$1,$B$2))</f>
        <v/>
      </c>
      <c r="G375" t="str">
        <f ca="1">IF(F375="","",$B$6+C375*$B$5-SUM($F$2:F375))</f>
        <v/>
      </c>
    </row>
    <row r="376" spans="4:7" x14ac:dyDescent="0.25">
      <c r="D376" t="str">
        <f ca="1">IF(SUM($D$2:D375)&gt;$B$4,"",D375+_xll.RiskExpon($B$3))</f>
        <v/>
      </c>
      <c r="E376" t="str">
        <f t="shared" ca="1" si="5"/>
        <v/>
      </c>
      <c r="F376" t="str">
        <f ca="1">IF(E376="","",_xll.RiskGamma($B$1,$B$2))</f>
        <v/>
      </c>
      <c r="G376" t="str">
        <f ca="1">IF(F376="","",$B$6+C376*$B$5-SUM($F$2:F376))</f>
        <v/>
      </c>
    </row>
    <row r="377" spans="4:7" x14ac:dyDescent="0.25">
      <c r="D377" t="str">
        <f ca="1">IF(SUM($D$2:D376)&gt;$B$4,"",D376+_xll.RiskExpon($B$3))</f>
        <v/>
      </c>
      <c r="E377" t="str">
        <f t="shared" ca="1" si="5"/>
        <v/>
      </c>
      <c r="F377" t="str">
        <f ca="1">IF(E377="","",_xll.RiskGamma($B$1,$B$2))</f>
        <v/>
      </c>
      <c r="G377" t="str">
        <f ca="1">IF(F377="","",$B$6+C377*$B$5-SUM($F$2:F377))</f>
        <v/>
      </c>
    </row>
    <row r="378" spans="4:7" x14ac:dyDescent="0.25">
      <c r="D378" t="str">
        <f ca="1">IF(SUM($D$2:D377)&gt;$B$4,"",D377+_xll.RiskExpon($B$3))</f>
        <v/>
      </c>
      <c r="E378" t="str">
        <f t="shared" ca="1" si="5"/>
        <v/>
      </c>
      <c r="F378" t="str">
        <f ca="1">IF(E378="","",_xll.RiskGamma($B$1,$B$2))</f>
        <v/>
      </c>
      <c r="G378" t="str">
        <f ca="1">IF(F378="","",$B$6+C378*$B$5-SUM($F$2:F378))</f>
        <v/>
      </c>
    </row>
    <row r="379" spans="4:7" x14ac:dyDescent="0.25">
      <c r="D379" t="str">
        <f ca="1">IF(SUM($D$2:D378)&gt;$B$4,"",D378+_xll.RiskExpon($B$3))</f>
        <v/>
      </c>
      <c r="E379" t="str">
        <f t="shared" ca="1" si="5"/>
        <v/>
      </c>
      <c r="F379" t="str">
        <f ca="1">IF(E379="","",_xll.RiskGamma($B$1,$B$2))</f>
        <v/>
      </c>
      <c r="G379" t="str">
        <f ca="1">IF(F379="","",$B$6+C379*$B$5-SUM($F$2:F379))</f>
        <v/>
      </c>
    </row>
    <row r="380" spans="4:7" x14ac:dyDescent="0.25">
      <c r="D380" t="str">
        <f ca="1">IF(SUM($D$2:D379)&gt;$B$4,"",D379+_xll.RiskExpon($B$3))</f>
        <v/>
      </c>
      <c r="E380" t="str">
        <f t="shared" ca="1" si="5"/>
        <v/>
      </c>
      <c r="F380" t="str">
        <f ca="1">IF(E380="","",_xll.RiskGamma($B$1,$B$2))</f>
        <v/>
      </c>
      <c r="G380" t="str">
        <f ca="1">IF(F380="","",$B$6+C380*$B$5-SUM($F$2:F380))</f>
        <v/>
      </c>
    </row>
    <row r="381" spans="4:7" x14ac:dyDescent="0.25">
      <c r="D381" t="str">
        <f ca="1">IF(SUM($D$2:D380)&gt;$B$4,"",D380+_xll.RiskExpon($B$3))</f>
        <v/>
      </c>
      <c r="E381" t="str">
        <f t="shared" ca="1" si="5"/>
        <v/>
      </c>
      <c r="F381" t="str">
        <f ca="1">IF(E381="","",_xll.RiskGamma($B$1,$B$2))</f>
        <v/>
      </c>
      <c r="G381" t="str">
        <f ca="1">IF(F381="","",$B$6+C381*$B$5-SUM($F$2:F381))</f>
        <v/>
      </c>
    </row>
    <row r="382" spans="4:7" x14ac:dyDescent="0.25">
      <c r="D382" t="str">
        <f ca="1">IF(SUM($D$2:D381)&gt;$B$4,"",D381+_xll.RiskExpon($B$3))</f>
        <v/>
      </c>
      <c r="E382" t="str">
        <f t="shared" ca="1" si="5"/>
        <v/>
      </c>
      <c r="F382" t="str">
        <f ca="1">IF(E382="","",_xll.RiskGamma($B$1,$B$2))</f>
        <v/>
      </c>
      <c r="G382" t="str">
        <f ca="1">IF(F382="","",$B$6+C382*$B$5-SUM($F$2:F382))</f>
        <v/>
      </c>
    </row>
    <row r="383" spans="4:7" x14ac:dyDescent="0.25">
      <c r="D383" t="str">
        <f ca="1">IF(SUM($D$2:D382)&gt;$B$4,"",D382+_xll.RiskExpon($B$3))</f>
        <v/>
      </c>
      <c r="E383" t="str">
        <f t="shared" ca="1" si="5"/>
        <v/>
      </c>
      <c r="F383" t="str">
        <f ca="1">IF(E383="","",_xll.RiskGamma($B$1,$B$2))</f>
        <v/>
      </c>
      <c r="G383" t="str">
        <f ca="1">IF(F383="","",$B$6+C383*$B$5-SUM($F$2:F383))</f>
        <v/>
      </c>
    </row>
    <row r="384" spans="4:7" x14ac:dyDescent="0.25">
      <c r="D384" t="str">
        <f ca="1">IF(SUM($D$2:D383)&gt;$B$4,"",D383+_xll.RiskExpon($B$3))</f>
        <v/>
      </c>
      <c r="E384" t="str">
        <f t="shared" ca="1" si="5"/>
        <v/>
      </c>
      <c r="F384" t="str">
        <f ca="1">IF(E384="","",_xll.RiskGamma($B$1,$B$2))</f>
        <v/>
      </c>
      <c r="G384" t="str">
        <f ca="1">IF(F384="","",$B$6+C384*$B$5-SUM($F$2:F384))</f>
        <v/>
      </c>
    </row>
    <row r="385" spans="4:7" x14ac:dyDescent="0.25">
      <c r="D385" t="str">
        <f ca="1">IF(SUM($D$2:D384)&gt;$B$4,"",D384+_xll.RiskExpon($B$3))</f>
        <v/>
      </c>
      <c r="E385" t="str">
        <f t="shared" ca="1" si="5"/>
        <v/>
      </c>
      <c r="F385" t="str">
        <f ca="1">IF(E385="","",_xll.RiskGamma($B$1,$B$2))</f>
        <v/>
      </c>
      <c r="G385" t="str">
        <f ca="1">IF(F385="","",$B$6+C385*$B$5-SUM($F$2:F385))</f>
        <v/>
      </c>
    </row>
    <row r="386" spans="4:7" x14ac:dyDescent="0.25">
      <c r="D386" t="str">
        <f ca="1">IF(SUM($D$2:D385)&gt;$B$4,"",D385+_xll.RiskExpon($B$3))</f>
        <v/>
      </c>
      <c r="E386" t="str">
        <f t="shared" ca="1" si="5"/>
        <v/>
      </c>
      <c r="F386" t="str">
        <f ca="1">IF(E386="","",_xll.RiskGamma($B$1,$B$2))</f>
        <v/>
      </c>
      <c r="G386" t="str">
        <f ca="1">IF(F386="","",$B$6+C386*$B$5-SUM($F$2:F386))</f>
        <v/>
      </c>
    </row>
    <row r="387" spans="4:7" x14ac:dyDescent="0.25">
      <c r="D387" t="str">
        <f ca="1">IF(SUM($D$2:D386)&gt;$B$4,"",D386+_xll.RiskExpon($B$3))</f>
        <v/>
      </c>
      <c r="E387" t="str">
        <f t="shared" ca="1" si="5"/>
        <v/>
      </c>
      <c r="F387" t="str">
        <f ca="1">IF(E387="","",_xll.RiskGamma($B$1,$B$2))</f>
        <v/>
      </c>
      <c r="G387" t="str">
        <f ca="1">IF(F387="","",$B$6+C387*$B$5-SUM($F$2:F387))</f>
        <v/>
      </c>
    </row>
    <row r="388" spans="4:7" x14ac:dyDescent="0.25">
      <c r="D388" t="str">
        <f ca="1">IF(SUM($D$2:D387)&gt;$B$4,"",D387+_xll.RiskExpon($B$3))</f>
        <v/>
      </c>
      <c r="E388" t="str">
        <f t="shared" ref="E388:E451" ca="1" si="6">IF(E387&lt;$B$7,E387+1,"")</f>
        <v/>
      </c>
      <c r="F388" t="str">
        <f ca="1">IF(E388="","",_xll.RiskGamma($B$1,$B$2))</f>
        <v/>
      </c>
      <c r="G388" t="str">
        <f ca="1">IF(F388="","",$B$6+C388*$B$5-SUM($F$2:F388))</f>
        <v/>
      </c>
    </row>
    <row r="389" spans="4:7" x14ac:dyDescent="0.25">
      <c r="D389" t="str">
        <f ca="1">IF(SUM($D$2:D388)&gt;$B$4,"",D388+_xll.RiskExpon($B$3))</f>
        <v/>
      </c>
      <c r="E389" t="str">
        <f t="shared" ca="1" si="6"/>
        <v/>
      </c>
      <c r="F389" t="str">
        <f ca="1">IF(E389="","",_xll.RiskGamma($B$1,$B$2))</f>
        <v/>
      </c>
      <c r="G389" t="str">
        <f ca="1">IF(F389="","",$B$6+C389*$B$5-SUM($F$2:F389))</f>
        <v/>
      </c>
    </row>
    <row r="390" spans="4:7" x14ac:dyDescent="0.25">
      <c r="D390" t="str">
        <f ca="1">IF(SUM($D$2:D389)&gt;$B$4,"",D389+_xll.RiskExpon($B$3))</f>
        <v/>
      </c>
      <c r="E390" t="str">
        <f t="shared" ca="1" si="6"/>
        <v/>
      </c>
      <c r="F390" t="str">
        <f ca="1">IF(E390="","",_xll.RiskGamma($B$1,$B$2))</f>
        <v/>
      </c>
      <c r="G390" t="str">
        <f ca="1">IF(F390="","",$B$6+C390*$B$5-SUM($F$2:F390))</f>
        <v/>
      </c>
    </row>
    <row r="391" spans="4:7" x14ac:dyDescent="0.25">
      <c r="D391" t="str">
        <f ca="1">IF(SUM($D$2:D390)&gt;$B$4,"",D390+_xll.RiskExpon($B$3))</f>
        <v/>
      </c>
      <c r="E391" t="str">
        <f t="shared" ca="1" si="6"/>
        <v/>
      </c>
      <c r="F391" t="str">
        <f ca="1">IF(E391="","",_xll.RiskGamma($B$1,$B$2))</f>
        <v/>
      </c>
      <c r="G391" t="str">
        <f ca="1">IF(F391="","",$B$6+C391*$B$5-SUM($F$2:F391))</f>
        <v/>
      </c>
    </row>
    <row r="392" spans="4:7" x14ac:dyDescent="0.25">
      <c r="D392" t="str">
        <f ca="1">IF(SUM($D$2:D391)&gt;$B$4,"",D391+_xll.RiskExpon($B$3))</f>
        <v/>
      </c>
      <c r="E392" t="str">
        <f t="shared" ca="1" si="6"/>
        <v/>
      </c>
      <c r="F392" t="str">
        <f ca="1">IF(E392="","",_xll.RiskGamma($B$1,$B$2))</f>
        <v/>
      </c>
      <c r="G392" t="str">
        <f ca="1">IF(F392="","",$B$6+C392*$B$5-SUM($F$2:F392))</f>
        <v/>
      </c>
    </row>
    <row r="393" spans="4:7" x14ac:dyDescent="0.25">
      <c r="D393" t="str">
        <f ca="1">IF(SUM($D$2:D392)&gt;$B$4,"",D392+_xll.RiskExpon($B$3))</f>
        <v/>
      </c>
      <c r="E393" t="str">
        <f t="shared" ca="1" si="6"/>
        <v/>
      </c>
      <c r="F393" t="str">
        <f ca="1">IF(E393="","",_xll.RiskGamma($B$1,$B$2))</f>
        <v/>
      </c>
      <c r="G393" t="str">
        <f ca="1">IF(F393="","",$B$6+C393*$B$5-SUM($F$2:F393))</f>
        <v/>
      </c>
    </row>
    <row r="394" spans="4:7" x14ac:dyDescent="0.25">
      <c r="D394" t="str">
        <f ca="1">IF(SUM($D$2:D393)&gt;$B$4,"",D393+_xll.RiskExpon($B$3))</f>
        <v/>
      </c>
      <c r="E394" t="str">
        <f t="shared" ca="1" si="6"/>
        <v/>
      </c>
      <c r="F394" t="str">
        <f ca="1">IF(E394="","",_xll.RiskGamma($B$1,$B$2))</f>
        <v/>
      </c>
      <c r="G394" t="str">
        <f ca="1">IF(F394="","",$B$6+C394*$B$5-SUM($F$2:F394))</f>
        <v/>
      </c>
    </row>
    <row r="395" spans="4:7" x14ac:dyDescent="0.25">
      <c r="D395" t="str">
        <f ca="1">IF(SUM($D$2:D394)&gt;$B$4,"",D394+_xll.RiskExpon($B$3))</f>
        <v/>
      </c>
      <c r="E395" t="str">
        <f t="shared" ca="1" si="6"/>
        <v/>
      </c>
      <c r="F395" t="str">
        <f ca="1">IF(E395="","",_xll.RiskGamma($B$1,$B$2))</f>
        <v/>
      </c>
      <c r="G395" t="str">
        <f ca="1">IF(F395="","",$B$6+C395*$B$5-SUM($F$2:F395))</f>
        <v/>
      </c>
    </row>
    <row r="396" spans="4:7" x14ac:dyDescent="0.25">
      <c r="D396" t="str">
        <f ca="1">IF(SUM($D$2:D395)&gt;$B$4,"",D395+_xll.RiskExpon($B$3))</f>
        <v/>
      </c>
      <c r="E396" t="str">
        <f t="shared" ca="1" si="6"/>
        <v/>
      </c>
      <c r="F396" t="str">
        <f ca="1">IF(E396="","",_xll.RiskGamma($B$1,$B$2))</f>
        <v/>
      </c>
      <c r="G396" t="str">
        <f ca="1">IF(F396="","",$B$6+C396*$B$5-SUM($F$2:F396))</f>
        <v/>
      </c>
    </row>
    <row r="397" spans="4:7" x14ac:dyDescent="0.25">
      <c r="D397" t="str">
        <f ca="1">IF(SUM($D$2:D396)&gt;$B$4,"",D396+_xll.RiskExpon($B$3))</f>
        <v/>
      </c>
      <c r="E397" t="str">
        <f t="shared" ca="1" si="6"/>
        <v/>
      </c>
      <c r="F397" t="str">
        <f ca="1">IF(E397="","",_xll.RiskGamma($B$1,$B$2))</f>
        <v/>
      </c>
      <c r="G397" t="str">
        <f ca="1">IF(F397="","",$B$6+C397*$B$5-SUM($F$2:F397))</f>
        <v/>
      </c>
    </row>
    <row r="398" spans="4:7" x14ac:dyDescent="0.25">
      <c r="D398" t="str">
        <f ca="1">IF(SUM($D$2:D397)&gt;$B$4,"",D397+_xll.RiskExpon($B$3))</f>
        <v/>
      </c>
      <c r="E398" t="str">
        <f t="shared" ca="1" si="6"/>
        <v/>
      </c>
      <c r="F398" t="str">
        <f ca="1">IF(E398="","",_xll.RiskGamma($B$1,$B$2))</f>
        <v/>
      </c>
      <c r="G398" t="str">
        <f ca="1">IF(F398="","",$B$6+C398*$B$5-SUM($F$2:F398))</f>
        <v/>
      </c>
    </row>
    <row r="399" spans="4:7" x14ac:dyDescent="0.25">
      <c r="D399" t="str">
        <f ca="1">IF(SUM($D$2:D398)&gt;$B$4,"",D398+_xll.RiskExpon($B$3))</f>
        <v/>
      </c>
      <c r="E399" t="str">
        <f t="shared" ca="1" si="6"/>
        <v/>
      </c>
      <c r="F399" t="str">
        <f ca="1">IF(E399="","",_xll.RiskGamma($B$1,$B$2))</f>
        <v/>
      </c>
      <c r="G399" t="str">
        <f ca="1">IF(F399="","",$B$6+C399*$B$5-SUM($F$2:F399))</f>
        <v/>
      </c>
    </row>
    <row r="400" spans="4:7" x14ac:dyDescent="0.25">
      <c r="D400" t="str">
        <f ca="1">IF(SUM($D$2:D399)&gt;$B$4,"",D399+_xll.RiskExpon($B$3))</f>
        <v/>
      </c>
      <c r="E400" t="str">
        <f t="shared" ca="1" si="6"/>
        <v/>
      </c>
      <c r="F400" t="str">
        <f ca="1">IF(E400="","",_xll.RiskGamma($B$1,$B$2))</f>
        <v/>
      </c>
      <c r="G400" t="str">
        <f ca="1">IF(F400="","",$B$6+C400*$B$5-SUM($F$2:F400))</f>
        <v/>
      </c>
    </row>
    <row r="401" spans="4:7" x14ac:dyDescent="0.25">
      <c r="D401" t="str">
        <f ca="1">IF(SUM($D$2:D400)&gt;$B$4,"",D400+_xll.RiskExpon($B$3))</f>
        <v/>
      </c>
      <c r="E401" t="str">
        <f t="shared" ca="1" si="6"/>
        <v/>
      </c>
      <c r="F401" t="str">
        <f ca="1">IF(E401="","",_xll.RiskGamma($B$1,$B$2))</f>
        <v/>
      </c>
      <c r="G401" t="str">
        <f ca="1">IF(F401="","",$B$6+C401*$B$5-SUM($F$2:F401))</f>
        <v/>
      </c>
    </row>
    <row r="402" spans="4:7" x14ac:dyDescent="0.25">
      <c r="D402" t="str">
        <f ca="1">IF(SUM($D$2:D401)&gt;$B$4,"",D401+_xll.RiskExpon($B$3))</f>
        <v/>
      </c>
      <c r="E402" t="str">
        <f t="shared" ca="1" si="6"/>
        <v/>
      </c>
      <c r="F402" t="str">
        <f ca="1">IF(E402="","",_xll.RiskGamma($B$1,$B$2))</f>
        <v/>
      </c>
      <c r="G402" t="str">
        <f ca="1">IF(F402="","",$B$6+C402*$B$5-SUM($F$2:F402))</f>
        <v/>
      </c>
    </row>
    <row r="403" spans="4:7" x14ac:dyDescent="0.25">
      <c r="D403" t="str">
        <f ca="1">IF(SUM($D$2:D402)&gt;$B$4,"",D402+_xll.RiskExpon($B$3))</f>
        <v/>
      </c>
      <c r="E403" t="str">
        <f t="shared" ca="1" si="6"/>
        <v/>
      </c>
      <c r="F403" t="str">
        <f ca="1">IF(E403="","",_xll.RiskGamma($B$1,$B$2))</f>
        <v/>
      </c>
      <c r="G403" t="str">
        <f ca="1">IF(F403="","",$B$6+C403*$B$5-SUM($F$2:F403))</f>
        <v/>
      </c>
    </row>
    <row r="404" spans="4:7" x14ac:dyDescent="0.25">
      <c r="D404" t="str">
        <f ca="1">IF(SUM($D$2:D403)&gt;$B$4,"",D403+_xll.RiskExpon($B$3))</f>
        <v/>
      </c>
      <c r="E404" t="str">
        <f t="shared" ca="1" si="6"/>
        <v/>
      </c>
      <c r="F404" t="str">
        <f ca="1">IF(E404="","",_xll.RiskGamma($B$1,$B$2))</f>
        <v/>
      </c>
      <c r="G404" t="str">
        <f ca="1">IF(F404="","",$B$6+C404*$B$5-SUM($F$2:F404))</f>
        <v/>
      </c>
    </row>
    <row r="405" spans="4:7" x14ac:dyDescent="0.25">
      <c r="D405" t="str">
        <f ca="1">IF(SUM($D$2:D404)&gt;$B$4,"",D404+_xll.RiskExpon($B$3))</f>
        <v/>
      </c>
      <c r="E405" t="str">
        <f t="shared" ca="1" si="6"/>
        <v/>
      </c>
      <c r="F405" t="str">
        <f ca="1">IF(E405="","",_xll.RiskGamma($B$1,$B$2))</f>
        <v/>
      </c>
      <c r="G405" t="str">
        <f ca="1">IF(F405="","",$B$6+C405*$B$5-SUM($F$2:F405))</f>
        <v/>
      </c>
    </row>
    <row r="406" spans="4:7" x14ac:dyDescent="0.25">
      <c r="D406" t="str">
        <f ca="1">IF(SUM($D$2:D405)&gt;$B$4,"",D405+_xll.RiskExpon($B$3))</f>
        <v/>
      </c>
      <c r="E406" t="str">
        <f t="shared" ca="1" si="6"/>
        <v/>
      </c>
      <c r="F406" t="str">
        <f ca="1">IF(E406="","",_xll.RiskGamma($B$1,$B$2))</f>
        <v/>
      </c>
      <c r="G406" t="str">
        <f ca="1">IF(F406="","",$B$6+C406*$B$5-SUM($F$2:F406))</f>
        <v/>
      </c>
    </row>
    <row r="407" spans="4:7" x14ac:dyDescent="0.25">
      <c r="D407" t="str">
        <f ca="1">IF(SUM($D$2:D406)&gt;$B$4,"",D406+_xll.RiskExpon($B$3))</f>
        <v/>
      </c>
      <c r="E407" t="str">
        <f t="shared" ca="1" si="6"/>
        <v/>
      </c>
      <c r="F407" t="str">
        <f ca="1">IF(E407="","",_xll.RiskGamma($B$1,$B$2))</f>
        <v/>
      </c>
      <c r="G407" t="str">
        <f ca="1">IF(F407="","",$B$6+C407*$B$5-SUM($F$2:F407))</f>
        <v/>
      </c>
    </row>
    <row r="408" spans="4:7" x14ac:dyDescent="0.25">
      <c r="D408" t="str">
        <f ca="1">IF(SUM($D$2:D407)&gt;$B$4,"",D407+_xll.RiskExpon($B$3))</f>
        <v/>
      </c>
      <c r="E408" t="str">
        <f t="shared" ca="1" si="6"/>
        <v/>
      </c>
      <c r="F408" t="str">
        <f ca="1">IF(E408="","",_xll.RiskGamma($B$1,$B$2))</f>
        <v/>
      </c>
      <c r="G408" t="str">
        <f ca="1">IF(F408="","",$B$6+C408*$B$5-SUM($F$2:F408))</f>
        <v/>
      </c>
    </row>
    <row r="409" spans="4:7" x14ac:dyDescent="0.25">
      <c r="D409" t="str">
        <f ca="1">IF(SUM($D$2:D408)&gt;$B$4,"",D408+_xll.RiskExpon($B$3))</f>
        <v/>
      </c>
      <c r="E409" t="str">
        <f t="shared" ca="1" si="6"/>
        <v/>
      </c>
      <c r="F409" t="str">
        <f ca="1">IF(E409="","",_xll.RiskGamma($B$1,$B$2))</f>
        <v/>
      </c>
      <c r="G409" t="str">
        <f ca="1">IF(F409="","",$B$6+C409*$B$5-SUM($F$2:F409))</f>
        <v/>
      </c>
    </row>
    <row r="410" spans="4:7" x14ac:dyDescent="0.25">
      <c r="D410" t="str">
        <f ca="1">IF(SUM($D$2:D409)&gt;$B$4,"",D409+_xll.RiskExpon($B$3))</f>
        <v/>
      </c>
      <c r="E410" t="str">
        <f t="shared" ca="1" si="6"/>
        <v/>
      </c>
      <c r="F410" t="str">
        <f ca="1">IF(E410="","",_xll.RiskGamma($B$1,$B$2))</f>
        <v/>
      </c>
      <c r="G410" t="str">
        <f ca="1">IF(F410="","",$B$6+C410*$B$5-SUM($F$2:F410))</f>
        <v/>
      </c>
    </row>
    <row r="411" spans="4:7" x14ac:dyDescent="0.25">
      <c r="D411" t="str">
        <f ca="1">IF(SUM($D$2:D410)&gt;$B$4,"",D410+_xll.RiskExpon($B$3))</f>
        <v/>
      </c>
      <c r="E411" t="str">
        <f t="shared" ca="1" si="6"/>
        <v/>
      </c>
      <c r="F411" t="str">
        <f ca="1">IF(E411="","",_xll.RiskGamma($B$1,$B$2))</f>
        <v/>
      </c>
      <c r="G411" t="str">
        <f ca="1">IF(F411="","",$B$6+C411*$B$5-SUM($F$2:F411))</f>
        <v/>
      </c>
    </row>
    <row r="412" spans="4:7" x14ac:dyDescent="0.25">
      <c r="D412" t="str">
        <f ca="1">IF(SUM($D$2:D411)&gt;$B$4,"",D411+_xll.RiskExpon($B$3))</f>
        <v/>
      </c>
      <c r="E412" t="str">
        <f t="shared" ca="1" si="6"/>
        <v/>
      </c>
      <c r="F412" t="str">
        <f ca="1">IF(E412="","",_xll.RiskGamma($B$1,$B$2))</f>
        <v/>
      </c>
      <c r="G412" t="str">
        <f ca="1">IF(F412="","",$B$6+C412*$B$5-SUM($F$2:F412))</f>
        <v/>
      </c>
    </row>
    <row r="413" spans="4:7" x14ac:dyDescent="0.25">
      <c r="D413" t="str">
        <f ca="1">IF(SUM($D$2:D412)&gt;$B$4,"",D412+_xll.RiskExpon($B$3))</f>
        <v/>
      </c>
      <c r="E413" t="str">
        <f t="shared" ca="1" si="6"/>
        <v/>
      </c>
      <c r="F413" t="str">
        <f ca="1">IF(E413="","",_xll.RiskGamma($B$1,$B$2))</f>
        <v/>
      </c>
      <c r="G413" t="str">
        <f ca="1">IF(F413="","",$B$6+C413*$B$5-SUM($F$2:F413))</f>
        <v/>
      </c>
    </row>
    <row r="414" spans="4:7" x14ac:dyDescent="0.25">
      <c r="D414" t="str">
        <f ca="1">IF(SUM($D$2:D413)&gt;$B$4,"",D413+_xll.RiskExpon($B$3))</f>
        <v/>
      </c>
      <c r="E414" t="str">
        <f t="shared" ca="1" si="6"/>
        <v/>
      </c>
      <c r="F414" t="str">
        <f ca="1">IF(E414="","",_xll.RiskGamma($B$1,$B$2))</f>
        <v/>
      </c>
      <c r="G414" t="str">
        <f ca="1">IF(F414="","",$B$6+C414*$B$5-SUM($F$2:F414))</f>
        <v/>
      </c>
    </row>
    <row r="415" spans="4:7" x14ac:dyDescent="0.25">
      <c r="D415" t="str">
        <f ca="1">IF(SUM($D$2:D414)&gt;$B$4,"",D414+_xll.RiskExpon($B$3))</f>
        <v/>
      </c>
      <c r="E415" t="str">
        <f t="shared" ca="1" si="6"/>
        <v/>
      </c>
      <c r="F415" t="str">
        <f ca="1">IF(E415="","",_xll.RiskGamma($B$1,$B$2))</f>
        <v/>
      </c>
      <c r="G415" t="str">
        <f ca="1">IF(F415="","",$B$6+C415*$B$5-SUM($F$2:F415))</f>
        <v/>
      </c>
    </row>
    <row r="416" spans="4:7" x14ac:dyDescent="0.25">
      <c r="D416" t="str">
        <f ca="1">IF(SUM($D$2:D415)&gt;$B$4,"",D415+_xll.RiskExpon($B$3))</f>
        <v/>
      </c>
      <c r="E416" t="str">
        <f t="shared" ca="1" si="6"/>
        <v/>
      </c>
      <c r="F416" t="str">
        <f ca="1">IF(E416="","",_xll.RiskGamma($B$1,$B$2))</f>
        <v/>
      </c>
      <c r="G416" t="str">
        <f ca="1">IF(F416="","",$B$6+C416*$B$5-SUM($F$2:F416))</f>
        <v/>
      </c>
    </row>
    <row r="417" spans="4:7" x14ac:dyDescent="0.25">
      <c r="D417" t="str">
        <f ca="1">IF(SUM($D$2:D416)&gt;$B$4,"",D416+_xll.RiskExpon($B$3))</f>
        <v/>
      </c>
      <c r="E417" t="str">
        <f t="shared" ca="1" si="6"/>
        <v/>
      </c>
      <c r="F417" t="str">
        <f ca="1">IF(E417="","",_xll.RiskGamma($B$1,$B$2))</f>
        <v/>
      </c>
      <c r="G417" t="str">
        <f ca="1">IF(F417="","",$B$6+C417*$B$5-SUM($F$2:F417))</f>
        <v/>
      </c>
    </row>
    <row r="418" spans="4:7" x14ac:dyDescent="0.25">
      <c r="D418" t="str">
        <f ca="1">IF(SUM($D$2:D417)&gt;$B$4,"",D417+_xll.RiskExpon($B$3))</f>
        <v/>
      </c>
      <c r="E418" t="str">
        <f t="shared" ca="1" si="6"/>
        <v/>
      </c>
      <c r="F418" t="str">
        <f ca="1">IF(E418="","",_xll.RiskGamma($B$1,$B$2))</f>
        <v/>
      </c>
      <c r="G418" t="str">
        <f ca="1">IF(F418="","",$B$6+C418*$B$5-SUM($F$2:F418))</f>
        <v/>
      </c>
    </row>
    <row r="419" spans="4:7" x14ac:dyDescent="0.25">
      <c r="D419" t="str">
        <f ca="1">IF(SUM($D$2:D418)&gt;$B$4,"",D418+_xll.RiskExpon($B$3))</f>
        <v/>
      </c>
      <c r="E419" t="str">
        <f t="shared" ca="1" si="6"/>
        <v/>
      </c>
      <c r="F419" t="str">
        <f ca="1">IF(E419="","",_xll.RiskGamma($B$1,$B$2))</f>
        <v/>
      </c>
      <c r="G419" t="str">
        <f ca="1">IF(F419="","",$B$6+C419*$B$5-SUM($F$2:F419))</f>
        <v/>
      </c>
    </row>
    <row r="420" spans="4:7" x14ac:dyDescent="0.25">
      <c r="D420" t="str">
        <f ca="1">IF(SUM($D$2:D419)&gt;$B$4,"",D419+_xll.RiskExpon($B$3))</f>
        <v/>
      </c>
      <c r="E420" t="str">
        <f t="shared" ca="1" si="6"/>
        <v/>
      </c>
      <c r="F420" t="str">
        <f ca="1">IF(E420="","",_xll.RiskGamma($B$1,$B$2))</f>
        <v/>
      </c>
      <c r="G420" t="str">
        <f ca="1">IF(F420="","",$B$6+C420*$B$5-SUM($F$2:F420))</f>
        <v/>
      </c>
    </row>
    <row r="421" spans="4:7" x14ac:dyDescent="0.25">
      <c r="D421" t="str">
        <f ca="1">IF(SUM($D$2:D420)&gt;$B$4,"",D420+_xll.RiskExpon($B$3))</f>
        <v/>
      </c>
      <c r="E421" t="str">
        <f t="shared" ca="1" si="6"/>
        <v/>
      </c>
      <c r="F421" t="str">
        <f ca="1">IF(E421="","",_xll.RiskGamma($B$1,$B$2))</f>
        <v/>
      </c>
      <c r="G421" t="str">
        <f ca="1">IF(F421="","",$B$6+C421*$B$5-SUM($F$2:F421))</f>
        <v/>
      </c>
    </row>
    <row r="422" spans="4:7" x14ac:dyDescent="0.25">
      <c r="D422" t="str">
        <f ca="1">IF(SUM($D$2:D421)&gt;$B$4,"",D421+_xll.RiskExpon($B$3))</f>
        <v/>
      </c>
      <c r="E422" t="str">
        <f t="shared" ca="1" si="6"/>
        <v/>
      </c>
      <c r="F422" t="str">
        <f ca="1">IF(E422="","",_xll.RiskGamma($B$1,$B$2))</f>
        <v/>
      </c>
      <c r="G422" t="str">
        <f ca="1">IF(F422="","",$B$6+C422*$B$5-SUM($F$2:F422))</f>
        <v/>
      </c>
    </row>
    <row r="423" spans="4:7" x14ac:dyDescent="0.25">
      <c r="D423" t="str">
        <f ca="1">IF(SUM($D$2:D422)&gt;$B$4,"",D422+_xll.RiskExpon($B$3))</f>
        <v/>
      </c>
      <c r="E423" t="str">
        <f t="shared" ca="1" si="6"/>
        <v/>
      </c>
      <c r="F423" t="str">
        <f ca="1">IF(E423="","",_xll.RiskGamma($B$1,$B$2))</f>
        <v/>
      </c>
      <c r="G423" t="str">
        <f ca="1">IF(F423="","",$B$6+C423*$B$5-SUM($F$2:F423))</f>
        <v/>
      </c>
    </row>
    <row r="424" spans="4:7" x14ac:dyDescent="0.25">
      <c r="D424" t="str">
        <f ca="1">IF(SUM($D$2:D423)&gt;$B$4,"",D423+_xll.RiskExpon($B$3))</f>
        <v/>
      </c>
      <c r="E424" t="str">
        <f t="shared" ca="1" si="6"/>
        <v/>
      </c>
      <c r="F424" t="str">
        <f ca="1">IF(E424="","",_xll.RiskGamma($B$1,$B$2))</f>
        <v/>
      </c>
      <c r="G424" t="str">
        <f ca="1">IF(F424="","",$B$6+C424*$B$5-SUM($F$2:F424))</f>
        <v/>
      </c>
    </row>
    <row r="425" spans="4:7" x14ac:dyDescent="0.25">
      <c r="D425" t="str">
        <f ca="1">IF(SUM($D$2:D424)&gt;$B$4,"",D424+_xll.RiskExpon($B$3))</f>
        <v/>
      </c>
      <c r="E425" t="str">
        <f t="shared" ca="1" si="6"/>
        <v/>
      </c>
      <c r="F425" t="str">
        <f ca="1">IF(E425="","",_xll.RiskGamma($B$1,$B$2))</f>
        <v/>
      </c>
      <c r="G425" t="str">
        <f ca="1">IF(F425="","",$B$6+C425*$B$5-SUM($F$2:F425))</f>
        <v/>
      </c>
    </row>
    <row r="426" spans="4:7" x14ac:dyDescent="0.25">
      <c r="D426" t="str">
        <f ca="1">IF(SUM($D$2:D425)&gt;$B$4,"",D425+_xll.RiskExpon($B$3))</f>
        <v/>
      </c>
      <c r="E426" t="str">
        <f t="shared" ca="1" si="6"/>
        <v/>
      </c>
      <c r="F426" t="str">
        <f ca="1">IF(E426="","",_xll.RiskGamma($B$1,$B$2))</f>
        <v/>
      </c>
      <c r="G426" t="str">
        <f ca="1">IF(F426="","",$B$6+C426*$B$5-SUM($F$2:F426))</f>
        <v/>
      </c>
    </row>
    <row r="427" spans="4:7" x14ac:dyDescent="0.25">
      <c r="D427" t="str">
        <f ca="1">IF(SUM($D$2:D426)&gt;$B$4,"",D426+_xll.RiskExpon($B$3))</f>
        <v/>
      </c>
      <c r="E427" t="str">
        <f t="shared" ca="1" si="6"/>
        <v/>
      </c>
      <c r="F427" t="str">
        <f ca="1">IF(E427="","",_xll.RiskGamma($B$1,$B$2))</f>
        <v/>
      </c>
      <c r="G427" t="str">
        <f ca="1">IF(F427="","",$B$6+C427*$B$5-SUM($F$2:F427))</f>
        <v/>
      </c>
    </row>
    <row r="428" spans="4:7" x14ac:dyDescent="0.25">
      <c r="D428" t="str">
        <f ca="1">IF(SUM($D$2:D427)&gt;$B$4,"",D427+_xll.RiskExpon($B$3))</f>
        <v/>
      </c>
      <c r="E428" t="str">
        <f t="shared" ca="1" si="6"/>
        <v/>
      </c>
      <c r="F428" t="str">
        <f ca="1">IF(E428="","",_xll.RiskGamma($B$1,$B$2))</f>
        <v/>
      </c>
      <c r="G428" t="str">
        <f ca="1">IF(F428="","",$B$6+C428*$B$5-SUM($F$2:F428))</f>
        <v/>
      </c>
    </row>
    <row r="429" spans="4:7" x14ac:dyDescent="0.25">
      <c r="D429" t="str">
        <f ca="1">IF(SUM($D$2:D428)&gt;$B$4,"",D428+_xll.RiskExpon($B$3))</f>
        <v/>
      </c>
      <c r="E429" t="str">
        <f t="shared" ca="1" si="6"/>
        <v/>
      </c>
      <c r="F429" t="str">
        <f ca="1">IF(E429="","",_xll.RiskGamma($B$1,$B$2))</f>
        <v/>
      </c>
      <c r="G429" t="str">
        <f ca="1">IF(F429="","",$B$6+C429*$B$5-SUM($F$2:F429))</f>
        <v/>
      </c>
    </row>
    <row r="430" spans="4:7" x14ac:dyDescent="0.25">
      <c r="D430" t="str">
        <f ca="1">IF(SUM($D$2:D429)&gt;$B$4,"",D429+_xll.RiskExpon($B$3))</f>
        <v/>
      </c>
      <c r="E430" t="str">
        <f t="shared" ca="1" si="6"/>
        <v/>
      </c>
      <c r="F430" t="str">
        <f ca="1">IF(E430="","",_xll.RiskGamma($B$1,$B$2))</f>
        <v/>
      </c>
      <c r="G430" t="str">
        <f ca="1">IF(F430="","",$B$6+C430*$B$5-SUM($F$2:F430))</f>
        <v/>
      </c>
    </row>
    <row r="431" spans="4:7" x14ac:dyDescent="0.25">
      <c r="D431" t="str">
        <f ca="1">IF(SUM($D$2:D430)&gt;$B$4,"",D430+_xll.RiskExpon($B$3))</f>
        <v/>
      </c>
      <c r="E431" t="str">
        <f t="shared" ca="1" si="6"/>
        <v/>
      </c>
      <c r="F431" t="str">
        <f ca="1">IF(E431="","",_xll.RiskGamma($B$1,$B$2))</f>
        <v/>
      </c>
      <c r="G431" t="str">
        <f ca="1">IF(F431="","",$B$6+C431*$B$5-SUM($F$2:F431))</f>
        <v/>
      </c>
    </row>
    <row r="432" spans="4:7" x14ac:dyDescent="0.25">
      <c r="D432" t="str">
        <f ca="1">IF(SUM($D$2:D431)&gt;$B$4,"",D431+_xll.RiskExpon($B$3))</f>
        <v/>
      </c>
      <c r="E432" t="str">
        <f t="shared" ca="1" si="6"/>
        <v/>
      </c>
      <c r="F432" t="str">
        <f ca="1">IF(E432="","",_xll.RiskGamma($B$1,$B$2))</f>
        <v/>
      </c>
      <c r="G432" t="str">
        <f ca="1">IF(F432="","",$B$6+C432*$B$5-SUM($F$2:F432))</f>
        <v/>
      </c>
    </row>
    <row r="433" spans="4:7" x14ac:dyDescent="0.25">
      <c r="D433" t="str">
        <f ca="1">IF(SUM($D$2:D432)&gt;$B$4,"",D432+_xll.RiskExpon($B$3))</f>
        <v/>
      </c>
      <c r="E433" t="str">
        <f t="shared" ca="1" si="6"/>
        <v/>
      </c>
      <c r="F433" t="str">
        <f ca="1">IF(E433="","",_xll.RiskGamma($B$1,$B$2))</f>
        <v/>
      </c>
      <c r="G433" t="str">
        <f ca="1">IF(F433="","",$B$6+C433*$B$5-SUM($F$2:F433))</f>
        <v/>
      </c>
    </row>
    <row r="434" spans="4:7" x14ac:dyDescent="0.25">
      <c r="D434" t="str">
        <f ca="1">IF(SUM($D$2:D433)&gt;$B$4,"",D433+_xll.RiskExpon($B$3))</f>
        <v/>
      </c>
      <c r="E434" t="str">
        <f t="shared" ca="1" si="6"/>
        <v/>
      </c>
      <c r="F434" t="str">
        <f ca="1">IF(E434="","",_xll.RiskGamma($B$1,$B$2))</f>
        <v/>
      </c>
      <c r="G434" t="str">
        <f ca="1">IF(F434="","",$B$6+C434*$B$5-SUM($F$2:F434))</f>
        <v/>
      </c>
    </row>
    <row r="435" spans="4:7" x14ac:dyDescent="0.25">
      <c r="D435" t="str">
        <f ca="1">IF(SUM($D$2:D434)&gt;$B$4,"",D434+_xll.RiskExpon($B$3))</f>
        <v/>
      </c>
      <c r="E435" t="str">
        <f t="shared" ca="1" si="6"/>
        <v/>
      </c>
      <c r="F435" t="str">
        <f ca="1">IF(E435="","",_xll.RiskGamma($B$1,$B$2))</f>
        <v/>
      </c>
      <c r="G435" t="str">
        <f ca="1">IF(F435="","",$B$6+C435*$B$5-SUM($F$2:F435))</f>
        <v/>
      </c>
    </row>
    <row r="436" spans="4:7" x14ac:dyDescent="0.25">
      <c r="D436" t="str">
        <f ca="1">IF(SUM($D$2:D435)&gt;$B$4,"",D435+_xll.RiskExpon($B$3))</f>
        <v/>
      </c>
      <c r="E436" t="str">
        <f t="shared" ca="1" si="6"/>
        <v/>
      </c>
      <c r="F436" t="str">
        <f ca="1">IF(E436="","",_xll.RiskGamma($B$1,$B$2))</f>
        <v/>
      </c>
      <c r="G436" t="str">
        <f ca="1">IF(F436="","",$B$6+C436*$B$5-SUM($F$2:F436))</f>
        <v/>
      </c>
    </row>
    <row r="437" spans="4:7" x14ac:dyDescent="0.25">
      <c r="D437" t="str">
        <f ca="1">IF(SUM($D$2:D436)&gt;$B$4,"",D436+_xll.RiskExpon($B$3))</f>
        <v/>
      </c>
      <c r="E437" t="str">
        <f t="shared" ca="1" si="6"/>
        <v/>
      </c>
      <c r="F437" t="str">
        <f ca="1">IF(E437="","",_xll.RiskGamma($B$1,$B$2))</f>
        <v/>
      </c>
      <c r="G437" t="str">
        <f ca="1">IF(F437="","",$B$6+C437*$B$5-SUM($F$2:F437))</f>
        <v/>
      </c>
    </row>
    <row r="438" spans="4:7" x14ac:dyDescent="0.25">
      <c r="D438" t="str">
        <f ca="1">IF(SUM($D$2:D437)&gt;$B$4,"",D437+_xll.RiskExpon($B$3))</f>
        <v/>
      </c>
      <c r="E438" t="str">
        <f t="shared" ca="1" si="6"/>
        <v/>
      </c>
      <c r="F438" t="str">
        <f ca="1">IF(E438="","",_xll.RiskGamma($B$1,$B$2))</f>
        <v/>
      </c>
      <c r="G438" t="str">
        <f ca="1">IF(F438="","",$B$6+C438*$B$5-SUM($F$2:F438))</f>
        <v/>
      </c>
    </row>
    <row r="439" spans="4:7" x14ac:dyDescent="0.25">
      <c r="D439" t="str">
        <f ca="1">IF(SUM($D$2:D438)&gt;$B$4,"",D438+_xll.RiskExpon($B$3))</f>
        <v/>
      </c>
      <c r="E439" t="str">
        <f t="shared" ca="1" si="6"/>
        <v/>
      </c>
      <c r="F439" t="str">
        <f ca="1">IF(E439="","",_xll.RiskGamma($B$1,$B$2))</f>
        <v/>
      </c>
      <c r="G439" t="str">
        <f ca="1">IF(F439="","",$B$6+C439*$B$5-SUM($F$2:F439))</f>
        <v/>
      </c>
    </row>
    <row r="440" spans="4:7" x14ac:dyDescent="0.25">
      <c r="D440" t="str">
        <f ca="1">IF(SUM($D$2:D439)&gt;$B$4,"",D439+_xll.RiskExpon($B$3))</f>
        <v/>
      </c>
      <c r="E440" t="str">
        <f t="shared" ca="1" si="6"/>
        <v/>
      </c>
      <c r="F440" t="str">
        <f ca="1">IF(E440="","",_xll.RiskGamma($B$1,$B$2))</f>
        <v/>
      </c>
      <c r="G440" t="str">
        <f ca="1">IF(F440="","",$B$6+C440*$B$5-SUM($F$2:F440))</f>
        <v/>
      </c>
    </row>
    <row r="441" spans="4:7" x14ac:dyDescent="0.25">
      <c r="D441" t="str">
        <f ca="1">IF(SUM($D$2:D440)&gt;$B$4,"",D440+_xll.RiskExpon($B$3))</f>
        <v/>
      </c>
      <c r="E441" t="str">
        <f t="shared" ca="1" si="6"/>
        <v/>
      </c>
      <c r="F441" t="str">
        <f ca="1">IF(E441="","",_xll.RiskGamma($B$1,$B$2))</f>
        <v/>
      </c>
      <c r="G441" t="str">
        <f ca="1">IF(F441="","",$B$6+C441*$B$5-SUM($F$2:F441))</f>
        <v/>
      </c>
    </row>
    <row r="442" spans="4:7" x14ac:dyDescent="0.25">
      <c r="D442" t="str">
        <f ca="1">IF(SUM($D$2:D441)&gt;$B$4,"",D441+_xll.RiskExpon($B$3))</f>
        <v/>
      </c>
      <c r="E442" t="str">
        <f t="shared" ca="1" si="6"/>
        <v/>
      </c>
      <c r="F442" t="str">
        <f ca="1">IF(E442="","",_xll.RiskGamma($B$1,$B$2))</f>
        <v/>
      </c>
      <c r="G442" t="str">
        <f ca="1">IF(F442="","",$B$6+C442*$B$5-SUM($F$2:F442))</f>
        <v/>
      </c>
    </row>
    <row r="443" spans="4:7" x14ac:dyDescent="0.25">
      <c r="D443" t="str">
        <f ca="1">IF(SUM($D$2:D442)&gt;$B$4,"",D442+_xll.RiskExpon($B$3))</f>
        <v/>
      </c>
      <c r="E443" t="str">
        <f t="shared" ca="1" si="6"/>
        <v/>
      </c>
      <c r="F443" t="str">
        <f ca="1">IF(E443="","",_xll.RiskGamma($B$1,$B$2))</f>
        <v/>
      </c>
      <c r="G443" t="str">
        <f ca="1">IF(F443="","",$B$6+C443*$B$5-SUM($F$2:F443))</f>
        <v/>
      </c>
    </row>
    <row r="444" spans="4:7" x14ac:dyDescent="0.25">
      <c r="D444" t="str">
        <f ca="1">IF(SUM($D$2:D443)&gt;$B$4,"",D443+_xll.RiskExpon($B$3))</f>
        <v/>
      </c>
      <c r="E444" t="str">
        <f t="shared" ca="1" si="6"/>
        <v/>
      </c>
      <c r="F444" t="str">
        <f ca="1">IF(E444="","",_xll.RiskGamma($B$1,$B$2))</f>
        <v/>
      </c>
      <c r="G444" t="str">
        <f ca="1">IF(F444="","",$B$6+C444*$B$5-SUM($F$2:F444))</f>
        <v/>
      </c>
    </row>
    <row r="445" spans="4:7" x14ac:dyDescent="0.25">
      <c r="D445" t="str">
        <f ca="1">IF(SUM($D$2:D444)&gt;$B$4,"",D444+_xll.RiskExpon($B$3))</f>
        <v/>
      </c>
      <c r="E445" t="str">
        <f t="shared" ca="1" si="6"/>
        <v/>
      </c>
      <c r="F445" t="str">
        <f ca="1">IF(E445="","",_xll.RiskGamma($B$1,$B$2))</f>
        <v/>
      </c>
      <c r="G445" t="str">
        <f ca="1">IF(F445="","",$B$6+C445*$B$5-SUM($F$2:F445))</f>
        <v/>
      </c>
    </row>
    <row r="446" spans="4:7" x14ac:dyDescent="0.25">
      <c r="D446" t="str">
        <f ca="1">IF(SUM($D$2:D445)&gt;$B$4,"",D445+_xll.RiskExpon($B$3))</f>
        <v/>
      </c>
      <c r="E446" t="str">
        <f t="shared" ca="1" si="6"/>
        <v/>
      </c>
      <c r="F446" t="str">
        <f ca="1">IF(E446="","",_xll.RiskGamma($B$1,$B$2))</f>
        <v/>
      </c>
      <c r="G446" t="str">
        <f ca="1">IF(F446="","",$B$6+C446*$B$5-SUM($F$2:F446))</f>
        <v/>
      </c>
    </row>
    <row r="447" spans="4:7" x14ac:dyDescent="0.25">
      <c r="D447" t="str">
        <f ca="1">IF(SUM($D$2:D446)&gt;$B$4,"",D446+_xll.RiskExpon($B$3))</f>
        <v/>
      </c>
      <c r="E447" t="str">
        <f t="shared" ca="1" si="6"/>
        <v/>
      </c>
      <c r="F447" t="str">
        <f ca="1">IF(E447="","",_xll.RiskGamma($B$1,$B$2))</f>
        <v/>
      </c>
      <c r="G447" t="str">
        <f ca="1">IF(F447="","",$B$6+C447*$B$5-SUM($F$2:F447))</f>
        <v/>
      </c>
    </row>
    <row r="448" spans="4:7" x14ac:dyDescent="0.25">
      <c r="D448" t="str">
        <f ca="1">IF(SUM($D$2:D447)&gt;$B$4,"",D447+_xll.RiskExpon($B$3))</f>
        <v/>
      </c>
      <c r="E448" t="str">
        <f t="shared" ca="1" si="6"/>
        <v/>
      </c>
      <c r="F448" t="str">
        <f ca="1">IF(E448="","",_xll.RiskGamma($B$1,$B$2))</f>
        <v/>
      </c>
      <c r="G448" t="str">
        <f ca="1">IF(F448="","",$B$6+C448*$B$5-SUM($F$2:F448))</f>
        <v/>
      </c>
    </row>
    <row r="449" spans="4:7" x14ac:dyDescent="0.25">
      <c r="D449" t="str">
        <f ca="1">IF(SUM($D$2:D448)&gt;$B$4,"",D448+_xll.RiskExpon($B$3))</f>
        <v/>
      </c>
      <c r="E449" t="str">
        <f t="shared" ca="1" si="6"/>
        <v/>
      </c>
      <c r="F449" t="str">
        <f ca="1">IF(E449="","",_xll.RiskGamma($B$1,$B$2))</f>
        <v/>
      </c>
      <c r="G449" t="str">
        <f ca="1">IF(F449="","",$B$6+C449*$B$5-SUM($F$2:F449))</f>
        <v/>
      </c>
    </row>
    <row r="450" spans="4:7" x14ac:dyDescent="0.25">
      <c r="D450" t="str">
        <f ca="1">IF(SUM($D$2:D449)&gt;$B$4,"",D449+_xll.RiskExpon($B$3))</f>
        <v/>
      </c>
      <c r="E450" t="str">
        <f t="shared" ca="1" si="6"/>
        <v/>
      </c>
      <c r="F450" t="str">
        <f ca="1">IF(E450="","",_xll.RiskGamma($B$1,$B$2))</f>
        <v/>
      </c>
      <c r="G450" t="str">
        <f ca="1">IF(F450="","",$B$6+C450*$B$5-SUM($F$2:F450))</f>
        <v/>
      </c>
    </row>
    <row r="451" spans="4:7" x14ac:dyDescent="0.25">
      <c r="D451" t="str">
        <f ca="1">IF(SUM($D$2:D450)&gt;$B$4,"",D450+_xll.RiskExpon($B$3))</f>
        <v/>
      </c>
      <c r="E451" t="str">
        <f t="shared" ca="1" si="6"/>
        <v/>
      </c>
      <c r="F451" t="str">
        <f ca="1">IF(E451="","",_xll.RiskGamma($B$1,$B$2))</f>
        <v/>
      </c>
      <c r="G451" t="str">
        <f ca="1">IF(F451="","",$B$6+C451*$B$5-SUM($F$2:F451))</f>
        <v/>
      </c>
    </row>
    <row r="452" spans="4:7" x14ac:dyDescent="0.25">
      <c r="D452" t="str">
        <f ca="1">IF(SUM($D$2:D451)&gt;$B$4,"",D451+_xll.RiskExpon($B$3))</f>
        <v/>
      </c>
      <c r="E452" t="str">
        <f t="shared" ref="E452:E499" ca="1" si="7">IF(E451&lt;$B$7,E451+1,"")</f>
        <v/>
      </c>
      <c r="F452" t="str">
        <f ca="1">IF(E452="","",_xll.RiskGamma($B$1,$B$2))</f>
        <v/>
      </c>
      <c r="G452" t="str">
        <f ca="1">IF(F452="","",$B$6+C452*$B$5-SUM($F$2:F452))</f>
        <v/>
      </c>
    </row>
    <row r="453" spans="4:7" x14ac:dyDescent="0.25">
      <c r="D453" t="str">
        <f ca="1">IF(SUM($D$2:D452)&gt;$B$4,"",D452+_xll.RiskExpon($B$3))</f>
        <v/>
      </c>
      <c r="E453" t="str">
        <f t="shared" ca="1" si="7"/>
        <v/>
      </c>
      <c r="F453" t="str">
        <f ca="1">IF(E453="","",_xll.RiskGamma($B$1,$B$2))</f>
        <v/>
      </c>
      <c r="G453" t="str">
        <f ca="1">IF(F453="","",$B$6+C453*$B$5-SUM($F$2:F453))</f>
        <v/>
      </c>
    </row>
    <row r="454" spans="4:7" x14ac:dyDescent="0.25">
      <c r="D454" t="str">
        <f ca="1">IF(SUM($D$2:D453)&gt;$B$4,"",D453+_xll.RiskExpon($B$3))</f>
        <v/>
      </c>
      <c r="E454" t="str">
        <f t="shared" ca="1" si="7"/>
        <v/>
      </c>
      <c r="F454" t="str">
        <f ca="1">IF(E454="","",_xll.RiskGamma($B$1,$B$2))</f>
        <v/>
      </c>
      <c r="G454" t="str">
        <f ca="1">IF(F454="","",$B$6+C454*$B$5-SUM($F$2:F454))</f>
        <v/>
      </c>
    </row>
    <row r="455" spans="4:7" x14ac:dyDescent="0.25">
      <c r="D455" t="str">
        <f ca="1">IF(SUM($D$2:D454)&gt;$B$4,"",D454+_xll.RiskExpon($B$3))</f>
        <v/>
      </c>
      <c r="E455" t="str">
        <f t="shared" ca="1" si="7"/>
        <v/>
      </c>
      <c r="F455" t="str">
        <f ca="1">IF(E455="","",_xll.RiskGamma($B$1,$B$2))</f>
        <v/>
      </c>
      <c r="G455" t="str">
        <f ca="1">IF(F455="","",$B$6+C455*$B$5-SUM($F$2:F455))</f>
        <v/>
      </c>
    </row>
    <row r="456" spans="4:7" x14ac:dyDescent="0.25">
      <c r="D456" t="str">
        <f ca="1">IF(SUM($D$2:D455)&gt;$B$4,"",D455+_xll.RiskExpon($B$3))</f>
        <v/>
      </c>
      <c r="E456" t="str">
        <f t="shared" ca="1" si="7"/>
        <v/>
      </c>
      <c r="F456" t="str">
        <f ca="1">IF(E456="","",_xll.RiskGamma($B$1,$B$2))</f>
        <v/>
      </c>
      <c r="G456" t="str">
        <f ca="1">IF(F456="","",$B$6+C456*$B$5-SUM($F$2:F456))</f>
        <v/>
      </c>
    </row>
    <row r="457" spans="4:7" x14ac:dyDescent="0.25">
      <c r="D457" t="str">
        <f ca="1">IF(SUM($D$2:D456)&gt;$B$4,"",D456+_xll.RiskExpon($B$3))</f>
        <v/>
      </c>
      <c r="E457" t="str">
        <f t="shared" ca="1" si="7"/>
        <v/>
      </c>
      <c r="F457" t="str">
        <f ca="1">IF(E457="","",_xll.RiskGamma($B$1,$B$2))</f>
        <v/>
      </c>
      <c r="G457" t="str">
        <f ca="1">IF(F457="","",$B$6+C457*$B$5-SUM($F$2:F457))</f>
        <v/>
      </c>
    </row>
    <row r="458" spans="4:7" x14ac:dyDescent="0.25">
      <c r="D458" t="str">
        <f ca="1">IF(SUM($D$2:D457)&gt;$B$4,"",D457+_xll.RiskExpon($B$3))</f>
        <v/>
      </c>
      <c r="E458" t="str">
        <f t="shared" ca="1" si="7"/>
        <v/>
      </c>
      <c r="F458" t="str">
        <f ca="1">IF(E458="","",_xll.RiskGamma($B$1,$B$2))</f>
        <v/>
      </c>
      <c r="G458" t="str">
        <f ca="1">IF(F458="","",$B$6+C458*$B$5-SUM($F$2:F458))</f>
        <v/>
      </c>
    </row>
    <row r="459" spans="4:7" x14ac:dyDescent="0.25">
      <c r="D459" t="str">
        <f ca="1">IF(SUM($D$2:D458)&gt;$B$4,"",D458+_xll.RiskExpon($B$3))</f>
        <v/>
      </c>
      <c r="E459" t="str">
        <f t="shared" ca="1" si="7"/>
        <v/>
      </c>
      <c r="F459" t="str">
        <f ca="1">IF(E459="","",_xll.RiskGamma($B$1,$B$2))</f>
        <v/>
      </c>
      <c r="G459" t="str">
        <f ca="1">IF(F459="","",$B$6+C459*$B$5-SUM($F$2:F459))</f>
        <v/>
      </c>
    </row>
    <row r="460" spans="4:7" x14ac:dyDescent="0.25">
      <c r="D460" t="str">
        <f ca="1">IF(SUM($D$2:D459)&gt;$B$4,"",D459+_xll.RiskExpon($B$3))</f>
        <v/>
      </c>
      <c r="E460" t="str">
        <f t="shared" ca="1" si="7"/>
        <v/>
      </c>
      <c r="F460" t="str">
        <f ca="1">IF(E460="","",_xll.RiskGamma($B$1,$B$2))</f>
        <v/>
      </c>
      <c r="G460" t="str">
        <f ca="1">IF(F460="","",$B$6+C460*$B$5-SUM($F$2:F460))</f>
        <v/>
      </c>
    </row>
    <row r="461" spans="4:7" x14ac:dyDescent="0.25">
      <c r="D461" t="str">
        <f ca="1">IF(SUM($D$2:D460)&gt;$B$4,"",D460+_xll.RiskExpon($B$3))</f>
        <v/>
      </c>
      <c r="E461" t="str">
        <f t="shared" ca="1" si="7"/>
        <v/>
      </c>
      <c r="F461" t="str">
        <f ca="1">IF(E461="","",_xll.RiskGamma($B$1,$B$2))</f>
        <v/>
      </c>
      <c r="G461" t="str">
        <f ca="1">IF(F461="","",$B$6+C461*$B$5-SUM($F$2:F461))</f>
        <v/>
      </c>
    </row>
    <row r="462" spans="4:7" x14ac:dyDescent="0.25">
      <c r="D462" t="str">
        <f ca="1">IF(SUM($D$2:D461)&gt;$B$4,"",D461+_xll.RiskExpon($B$3))</f>
        <v/>
      </c>
      <c r="E462" t="str">
        <f t="shared" ca="1" si="7"/>
        <v/>
      </c>
      <c r="F462" t="str">
        <f ca="1">IF(E462="","",_xll.RiskGamma($B$1,$B$2))</f>
        <v/>
      </c>
      <c r="G462" t="str">
        <f ca="1">IF(F462="","",$B$6+C462*$B$5-SUM($F$2:F462))</f>
        <v/>
      </c>
    </row>
    <row r="463" spans="4:7" x14ac:dyDescent="0.25">
      <c r="D463" t="str">
        <f ca="1">IF(SUM($D$2:D462)&gt;$B$4,"",D462+_xll.RiskExpon($B$3))</f>
        <v/>
      </c>
      <c r="E463" t="str">
        <f t="shared" ca="1" si="7"/>
        <v/>
      </c>
      <c r="F463" t="str">
        <f ca="1">IF(E463="","",_xll.RiskGamma($B$1,$B$2))</f>
        <v/>
      </c>
      <c r="G463" t="str">
        <f ca="1">IF(F463="","",$B$6+C463*$B$5-SUM($F$2:F463))</f>
        <v/>
      </c>
    </row>
    <row r="464" spans="4:7" x14ac:dyDescent="0.25">
      <c r="D464" t="str">
        <f ca="1">IF(SUM($D$2:D463)&gt;$B$4,"",D463+_xll.RiskExpon($B$3))</f>
        <v/>
      </c>
      <c r="E464" t="str">
        <f t="shared" ca="1" si="7"/>
        <v/>
      </c>
      <c r="F464" t="str">
        <f ca="1">IF(E464="","",_xll.RiskGamma($B$1,$B$2))</f>
        <v/>
      </c>
      <c r="G464" t="str">
        <f ca="1">IF(F464="","",$B$6+C464*$B$5-SUM($F$2:F464))</f>
        <v/>
      </c>
    </row>
    <row r="465" spans="4:7" x14ac:dyDescent="0.25">
      <c r="D465" t="str">
        <f ca="1">IF(SUM($D$2:D464)&gt;$B$4,"",D464+_xll.RiskExpon($B$3))</f>
        <v/>
      </c>
      <c r="E465" t="str">
        <f t="shared" ca="1" si="7"/>
        <v/>
      </c>
      <c r="F465" t="str">
        <f ca="1">IF(E465="","",_xll.RiskGamma($B$1,$B$2))</f>
        <v/>
      </c>
      <c r="G465" t="str">
        <f ca="1">IF(F465="","",$B$6+C465*$B$5-SUM($F$2:F465))</f>
        <v/>
      </c>
    </row>
    <row r="466" spans="4:7" x14ac:dyDescent="0.25">
      <c r="D466" t="str">
        <f ca="1">IF(SUM($D$2:D465)&gt;$B$4,"",D465+_xll.RiskExpon($B$3))</f>
        <v/>
      </c>
      <c r="E466" t="str">
        <f t="shared" ca="1" si="7"/>
        <v/>
      </c>
      <c r="F466" t="str">
        <f ca="1">IF(E466="","",_xll.RiskGamma($B$1,$B$2))</f>
        <v/>
      </c>
      <c r="G466" t="str">
        <f ca="1">IF(F466="","",$B$6+C466*$B$5-SUM($F$2:F466))</f>
        <v/>
      </c>
    </row>
    <row r="467" spans="4:7" x14ac:dyDescent="0.25">
      <c r="D467" t="str">
        <f ca="1">IF(SUM($D$2:D466)&gt;$B$4,"",D466+_xll.RiskExpon($B$3))</f>
        <v/>
      </c>
      <c r="E467" t="str">
        <f t="shared" ca="1" si="7"/>
        <v/>
      </c>
      <c r="F467" t="str">
        <f ca="1">IF(E467="","",_xll.RiskGamma($B$1,$B$2))</f>
        <v/>
      </c>
      <c r="G467" t="str">
        <f ca="1">IF(F467="","",$B$6+C467*$B$5-SUM($F$2:F467))</f>
        <v/>
      </c>
    </row>
    <row r="468" spans="4:7" x14ac:dyDescent="0.25">
      <c r="D468" t="str">
        <f ca="1">IF(SUM($D$2:D467)&gt;$B$4,"",D467+_xll.RiskExpon($B$3))</f>
        <v/>
      </c>
      <c r="E468" t="str">
        <f t="shared" ca="1" si="7"/>
        <v/>
      </c>
      <c r="F468" t="str">
        <f ca="1">IF(E468="","",_xll.RiskGamma($B$1,$B$2))</f>
        <v/>
      </c>
      <c r="G468" t="str">
        <f ca="1">IF(F468="","",$B$6+C468*$B$5-SUM($F$2:F468))</f>
        <v/>
      </c>
    </row>
    <row r="469" spans="4:7" x14ac:dyDescent="0.25">
      <c r="D469" t="str">
        <f ca="1">IF(SUM($D$2:D468)&gt;$B$4,"",D468+_xll.RiskExpon($B$3))</f>
        <v/>
      </c>
      <c r="E469" t="str">
        <f t="shared" ca="1" si="7"/>
        <v/>
      </c>
      <c r="F469" t="str">
        <f ca="1">IF(E469="","",_xll.RiskGamma($B$1,$B$2))</f>
        <v/>
      </c>
      <c r="G469" t="str">
        <f ca="1">IF(F469="","",$B$6+C469*$B$5-SUM($F$2:F469))</f>
        <v/>
      </c>
    </row>
    <row r="470" spans="4:7" x14ac:dyDescent="0.25">
      <c r="D470" t="str">
        <f ca="1">IF(SUM($D$2:D469)&gt;$B$4,"",D469+_xll.RiskExpon($B$3))</f>
        <v/>
      </c>
      <c r="E470" t="str">
        <f t="shared" ca="1" si="7"/>
        <v/>
      </c>
      <c r="F470" t="str">
        <f ca="1">IF(E470="","",_xll.RiskGamma($B$1,$B$2))</f>
        <v/>
      </c>
      <c r="G470" t="str">
        <f ca="1">IF(F470="","",$B$6+C470*$B$5-SUM($F$2:F470))</f>
        <v/>
      </c>
    </row>
    <row r="471" spans="4:7" x14ac:dyDescent="0.25">
      <c r="D471" t="str">
        <f ca="1">IF(SUM($D$2:D470)&gt;$B$4,"",D470+_xll.RiskExpon($B$3))</f>
        <v/>
      </c>
      <c r="E471" t="str">
        <f t="shared" ca="1" si="7"/>
        <v/>
      </c>
      <c r="F471" t="str">
        <f ca="1">IF(E471="","",_xll.RiskGamma($B$1,$B$2))</f>
        <v/>
      </c>
      <c r="G471" t="str">
        <f ca="1">IF(F471="","",$B$6+C471*$B$5-SUM($F$2:F471))</f>
        <v/>
      </c>
    </row>
    <row r="472" spans="4:7" x14ac:dyDescent="0.25">
      <c r="D472" t="str">
        <f ca="1">IF(SUM($D$2:D471)&gt;$B$4,"",D471+_xll.RiskExpon($B$3))</f>
        <v/>
      </c>
      <c r="E472" t="str">
        <f t="shared" ca="1" si="7"/>
        <v/>
      </c>
      <c r="F472" t="str">
        <f ca="1">IF(E472="","",_xll.RiskGamma($B$1,$B$2))</f>
        <v/>
      </c>
      <c r="G472" t="str">
        <f ca="1">IF(F472="","",$B$6+C472*$B$5-SUM($F$2:F472))</f>
        <v/>
      </c>
    </row>
    <row r="473" spans="4:7" x14ac:dyDescent="0.25">
      <c r="D473" t="str">
        <f ca="1">IF(SUM($D$2:D472)&gt;$B$4,"",D472+_xll.RiskExpon($B$3))</f>
        <v/>
      </c>
      <c r="E473" t="str">
        <f t="shared" ca="1" si="7"/>
        <v/>
      </c>
      <c r="F473" t="str">
        <f ca="1">IF(E473="","",_xll.RiskGamma($B$1,$B$2))</f>
        <v/>
      </c>
      <c r="G473" t="str">
        <f ca="1">IF(F473="","",$B$6+C473*$B$5-SUM($F$2:F473))</f>
        <v/>
      </c>
    </row>
    <row r="474" spans="4:7" x14ac:dyDescent="0.25">
      <c r="D474" t="str">
        <f ca="1">IF(SUM($D$2:D473)&gt;$B$4,"",D473+_xll.RiskExpon($B$3))</f>
        <v/>
      </c>
      <c r="E474" t="str">
        <f t="shared" ca="1" si="7"/>
        <v/>
      </c>
      <c r="F474" t="str">
        <f ca="1">IF(E474="","",_xll.RiskGamma($B$1,$B$2))</f>
        <v/>
      </c>
      <c r="G474" t="str">
        <f ca="1">IF(F474="","",$B$6+C474*$B$5-SUM($F$2:F474))</f>
        <v/>
      </c>
    </row>
    <row r="475" spans="4:7" x14ac:dyDescent="0.25">
      <c r="D475" t="str">
        <f ca="1">IF(SUM($D$2:D474)&gt;$B$4,"",D474+_xll.RiskExpon($B$3))</f>
        <v/>
      </c>
      <c r="E475" t="str">
        <f t="shared" ca="1" si="7"/>
        <v/>
      </c>
      <c r="F475" t="str">
        <f ca="1">IF(E475="","",_xll.RiskGamma($B$1,$B$2))</f>
        <v/>
      </c>
      <c r="G475" t="str">
        <f ca="1">IF(F475="","",$B$6+C475*$B$5-SUM($F$2:F475))</f>
        <v/>
      </c>
    </row>
    <row r="476" spans="4:7" x14ac:dyDescent="0.25">
      <c r="D476" t="str">
        <f ca="1">IF(SUM($D$2:D475)&gt;$B$4,"",D475+_xll.RiskExpon($B$3))</f>
        <v/>
      </c>
      <c r="E476" t="str">
        <f t="shared" ca="1" si="7"/>
        <v/>
      </c>
      <c r="F476" t="str">
        <f ca="1">IF(E476="","",_xll.RiskGamma($B$1,$B$2))</f>
        <v/>
      </c>
      <c r="G476" t="str">
        <f ca="1">IF(F476="","",$B$6+C476*$B$5-SUM($F$2:F476))</f>
        <v/>
      </c>
    </row>
    <row r="477" spans="4:7" x14ac:dyDescent="0.25">
      <c r="D477" t="str">
        <f ca="1">IF(SUM($D$2:D476)&gt;$B$4,"",D476+_xll.RiskExpon($B$3))</f>
        <v/>
      </c>
      <c r="E477" t="str">
        <f t="shared" ca="1" si="7"/>
        <v/>
      </c>
      <c r="F477" t="str">
        <f ca="1">IF(E477="","",_xll.RiskGamma($B$1,$B$2))</f>
        <v/>
      </c>
      <c r="G477" t="str">
        <f ca="1">IF(F477="","",$B$6+C477*$B$5-SUM($F$2:F477))</f>
        <v/>
      </c>
    </row>
    <row r="478" spans="4:7" x14ac:dyDescent="0.25">
      <c r="D478" t="str">
        <f ca="1">IF(SUM($D$2:D477)&gt;$B$4,"",D477+_xll.RiskExpon($B$3))</f>
        <v/>
      </c>
      <c r="E478" t="str">
        <f t="shared" ca="1" si="7"/>
        <v/>
      </c>
      <c r="F478" t="str">
        <f ca="1">IF(E478="","",_xll.RiskGamma($B$1,$B$2))</f>
        <v/>
      </c>
      <c r="G478" t="str">
        <f ca="1">IF(F478="","",$B$6+C478*$B$5-SUM($F$2:F478))</f>
        <v/>
      </c>
    </row>
    <row r="479" spans="4:7" x14ac:dyDescent="0.25">
      <c r="D479" t="str">
        <f ca="1">IF(SUM($D$2:D478)&gt;$B$4,"",D478+_xll.RiskExpon($B$3))</f>
        <v/>
      </c>
      <c r="E479" t="str">
        <f t="shared" ca="1" si="7"/>
        <v/>
      </c>
      <c r="F479" t="str">
        <f ca="1">IF(E479="","",_xll.RiskGamma($B$1,$B$2))</f>
        <v/>
      </c>
      <c r="G479" t="str">
        <f ca="1">IF(F479="","",$B$6+C479*$B$5-SUM($F$2:F479))</f>
        <v/>
      </c>
    </row>
    <row r="480" spans="4:7" x14ac:dyDescent="0.25">
      <c r="D480" t="str">
        <f ca="1">IF(SUM($D$2:D479)&gt;$B$4,"",D479+_xll.RiskExpon($B$3))</f>
        <v/>
      </c>
      <c r="E480" t="str">
        <f t="shared" ca="1" si="7"/>
        <v/>
      </c>
      <c r="F480" t="str">
        <f ca="1">IF(E480="","",_xll.RiskGamma($B$1,$B$2))</f>
        <v/>
      </c>
      <c r="G480" t="str">
        <f ca="1">IF(F480="","",$B$6+C480*$B$5-SUM($F$2:F480))</f>
        <v/>
      </c>
    </row>
    <row r="481" spans="4:7" x14ac:dyDescent="0.25">
      <c r="D481" t="str">
        <f ca="1">IF(SUM($D$2:D480)&gt;$B$4,"",D480+_xll.RiskExpon($B$3))</f>
        <v/>
      </c>
      <c r="E481" t="str">
        <f t="shared" ca="1" si="7"/>
        <v/>
      </c>
      <c r="F481" t="str">
        <f ca="1">IF(E481="","",_xll.RiskGamma($B$1,$B$2))</f>
        <v/>
      </c>
      <c r="G481" t="str">
        <f ca="1">IF(F481="","",$B$6+C481*$B$5-SUM($F$2:F481))</f>
        <v/>
      </c>
    </row>
    <row r="482" spans="4:7" x14ac:dyDescent="0.25">
      <c r="D482" t="str">
        <f ca="1">IF(SUM($D$2:D481)&gt;$B$4,"",D481+_xll.RiskExpon($B$3))</f>
        <v/>
      </c>
      <c r="E482" t="str">
        <f t="shared" ca="1" si="7"/>
        <v/>
      </c>
      <c r="F482" t="str">
        <f ca="1">IF(E482="","",_xll.RiskGamma($B$1,$B$2))</f>
        <v/>
      </c>
      <c r="G482" t="str">
        <f ca="1">IF(F482="","",$B$6+C482*$B$5-SUM($F$2:F482))</f>
        <v/>
      </c>
    </row>
    <row r="483" spans="4:7" x14ac:dyDescent="0.25">
      <c r="D483" t="str">
        <f ca="1">IF(SUM($D$2:D482)&gt;$B$4,"",D482+_xll.RiskExpon($B$3))</f>
        <v/>
      </c>
      <c r="E483" t="str">
        <f t="shared" ca="1" si="7"/>
        <v/>
      </c>
      <c r="F483" t="str">
        <f ca="1">IF(E483="","",_xll.RiskGamma($B$1,$B$2))</f>
        <v/>
      </c>
      <c r="G483" t="str">
        <f ca="1">IF(F483="","",$B$6+C483*$B$5-SUM($F$2:F483))</f>
        <v/>
      </c>
    </row>
    <row r="484" spans="4:7" x14ac:dyDescent="0.25">
      <c r="D484" t="str">
        <f ca="1">IF(SUM($D$2:D483)&gt;$B$4,"",D483+_xll.RiskExpon($B$3))</f>
        <v/>
      </c>
      <c r="E484" t="str">
        <f t="shared" ca="1" si="7"/>
        <v/>
      </c>
      <c r="F484" t="str">
        <f ca="1">IF(E484="","",_xll.RiskGamma($B$1,$B$2))</f>
        <v/>
      </c>
      <c r="G484" t="str">
        <f ca="1">IF(F484="","",$B$6+C484*$B$5-SUM($F$2:F484))</f>
        <v/>
      </c>
    </row>
    <row r="485" spans="4:7" x14ac:dyDescent="0.25">
      <c r="D485" t="str">
        <f ca="1">IF(SUM($D$2:D484)&gt;$B$4,"",D484+_xll.RiskExpon($B$3))</f>
        <v/>
      </c>
      <c r="E485" t="str">
        <f t="shared" ca="1" si="7"/>
        <v/>
      </c>
      <c r="F485" t="str">
        <f ca="1">IF(E485="","",_xll.RiskGamma($B$1,$B$2))</f>
        <v/>
      </c>
      <c r="G485" t="str">
        <f ca="1">IF(F485="","",$B$6+C485*$B$5-SUM($F$2:F485))</f>
        <v/>
      </c>
    </row>
    <row r="486" spans="4:7" x14ac:dyDescent="0.25">
      <c r="D486" t="str">
        <f ca="1">IF(SUM($D$2:D485)&gt;$B$4,"",D485+_xll.RiskExpon($B$3))</f>
        <v/>
      </c>
      <c r="E486" t="str">
        <f t="shared" ca="1" si="7"/>
        <v/>
      </c>
      <c r="F486" t="str">
        <f ca="1">IF(E486="","",_xll.RiskGamma($B$1,$B$2))</f>
        <v/>
      </c>
      <c r="G486" t="str">
        <f ca="1">IF(F486="","",$B$6+C486*$B$5-SUM($F$2:F486))</f>
        <v/>
      </c>
    </row>
    <row r="487" spans="4:7" x14ac:dyDescent="0.25">
      <c r="D487" t="str">
        <f ca="1">IF(SUM($D$2:D486)&gt;$B$4,"",D486+_xll.RiskExpon($B$3))</f>
        <v/>
      </c>
      <c r="E487" t="str">
        <f t="shared" ca="1" si="7"/>
        <v/>
      </c>
      <c r="F487" t="str">
        <f ca="1">IF(E487="","",_xll.RiskGamma($B$1,$B$2))</f>
        <v/>
      </c>
      <c r="G487" t="str">
        <f ca="1">IF(F487="","",$B$6+C487*$B$5-SUM($F$2:F487))</f>
        <v/>
      </c>
    </row>
    <row r="488" spans="4:7" x14ac:dyDescent="0.25">
      <c r="D488" t="str">
        <f ca="1">IF(SUM($D$2:D487)&gt;$B$4,"",D487+_xll.RiskExpon($B$3))</f>
        <v/>
      </c>
      <c r="E488" t="str">
        <f t="shared" ca="1" si="7"/>
        <v/>
      </c>
      <c r="F488" t="str">
        <f ca="1">IF(E488="","",_xll.RiskGamma($B$1,$B$2))</f>
        <v/>
      </c>
      <c r="G488" t="str">
        <f ca="1">IF(F488="","",$B$6+C488*$B$5-SUM($F$2:F488))</f>
        <v/>
      </c>
    </row>
    <row r="489" spans="4:7" x14ac:dyDescent="0.25">
      <c r="D489" t="str">
        <f ca="1">IF(SUM($D$2:D488)&gt;$B$4,"",D488+_xll.RiskExpon($B$3))</f>
        <v/>
      </c>
      <c r="E489" t="str">
        <f t="shared" ca="1" si="7"/>
        <v/>
      </c>
      <c r="F489" t="str">
        <f ca="1">IF(E489="","",_xll.RiskGamma($B$1,$B$2))</f>
        <v/>
      </c>
      <c r="G489" t="str">
        <f ca="1">IF(F489="","",$B$6+C489*$B$5-SUM($F$2:F489))</f>
        <v/>
      </c>
    </row>
    <row r="490" spans="4:7" x14ac:dyDescent="0.25">
      <c r="D490" t="str">
        <f ca="1">IF(SUM($D$2:D489)&gt;$B$4,"",D489+_xll.RiskExpon($B$3))</f>
        <v/>
      </c>
      <c r="E490" t="str">
        <f t="shared" ca="1" si="7"/>
        <v/>
      </c>
      <c r="F490" t="str">
        <f ca="1">IF(E490="","",_xll.RiskGamma($B$1,$B$2))</f>
        <v/>
      </c>
      <c r="G490" t="str">
        <f ca="1">IF(F490="","",$B$6+C490*$B$5-SUM($F$2:F490))</f>
        <v/>
      </c>
    </row>
    <row r="491" spans="4:7" x14ac:dyDescent="0.25">
      <c r="D491" t="str">
        <f ca="1">IF(SUM($D$2:D490)&gt;$B$4,"",D490+_xll.RiskExpon($B$3))</f>
        <v/>
      </c>
      <c r="E491" t="str">
        <f t="shared" ca="1" si="7"/>
        <v/>
      </c>
      <c r="F491" t="str">
        <f ca="1">IF(E491="","",_xll.RiskGamma($B$1,$B$2))</f>
        <v/>
      </c>
      <c r="G491" t="str">
        <f ca="1">IF(F491="","",$B$6+C491*$B$5-SUM($F$2:F491))</f>
        <v/>
      </c>
    </row>
    <row r="492" spans="4:7" x14ac:dyDescent="0.25">
      <c r="D492" t="str">
        <f ca="1">IF(SUM($D$2:D491)&gt;$B$4,"",D491+_xll.RiskExpon($B$3))</f>
        <v/>
      </c>
      <c r="E492" t="str">
        <f t="shared" ca="1" si="7"/>
        <v/>
      </c>
      <c r="F492" t="str">
        <f ca="1">IF(E492="","",_xll.RiskGamma($B$1,$B$2))</f>
        <v/>
      </c>
      <c r="G492" t="str">
        <f ca="1">IF(F492="","",$B$6+C492*$B$5-SUM($F$2:F492))</f>
        <v/>
      </c>
    </row>
    <row r="493" spans="4:7" x14ac:dyDescent="0.25">
      <c r="D493" t="str">
        <f ca="1">IF(SUM($D$2:D492)&gt;$B$4,"",D492+_xll.RiskExpon($B$3))</f>
        <v/>
      </c>
      <c r="E493" t="str">
        <f t="shared" ca="1" si="7"/>
        <v/>
      </c>
      <c r="F493" t="str">
        <f ca="1">IF(E493="","",_xll.RiskGamma($B$1,$B$2))</f>
        <v/>
      </c>
      <c r="G493" t="str">
        <f ca="1">IF(F493="","",$B$6+C493*$B$5-SUM($F$2:F493))</f>
        <v/>
      </c>
    </row>
    <row r="494" spans="4:7" x14ac:dyDescent="0.25">
      <c r="D494" t="str">
        <f ca="1">IF(SUM($D$2:D493)&gt;$B$4,"",D493+_xll.RiskExpon($B$3))</f>
        <v/>
      </c>
      <c r="E494" t="str">
        <f t="shared" ca="1" si="7"/>
        <v/>
      </c>
      <c r="F494" t="str">
        <f ca="1">IF(E494="","",_xll.RiskGamma($B$1,$B$2))</f>
        <v/>
      </c>
      <c r="G494" t="str">
        <f ca="1">IF(F494="","",$B$6+C494*$B$5-SUM($F$2:F494))</f>
        <v/>
      </c>
    </row>
    <row r="495" spans="4:7" x14ac:dyDescent="0.25">
      <c r="D495" t="str">
        <f ca="1">IF(SUM($D$2:D494)&gt;$B$4,"",D494+_xll.RiskExpon($B$3))</f>
        <v/>
      </c>
      <c r="E495" t="str">
        <f t="shared" ca="1" si="7"/>
        <v/>
      </c>
      <c r="F495" t="str">
        <f ca="1">IF(E495="","",_xll.RiskGamma($B$1,$B$2))</f>
        <v/>
      </c>
      <c r="G495" t="str">
        <f ca="1">IF(F495="","",$B$6+C495*$B$5-SUM($F$2:F495))</f>
        <v/>
      </c>
    </row>
    <row r="496" spans="4:7" x14ac:dyDescent="0.25">
      <c r="D496" t="str">
        <f ca="1">IF(SUM($D$2:D495)&gt;$B$4,"",D495+_xll.RiskExpon($B$3))</f>
        <v/>
      </c>
      <c r="E496" t="str">
        <f t="shared" ca="1" si="7"/>
        <v/>
      </c>
      <c r="F496" t="str">
        <f ca="1">IF(E496="","",_xll.RiskGamma($B$1,$B$2))</f>
        <v/>
      </c>
      <c r="G496" t="str">
        <f ca="1">IF(F496="","",$B$6+C496*$B$5-SUM($F$2:F496))</f>
        <v/>
      </c>
    </row>
    <row r="497" spans="4:7" x14ac:dyDescent="0.25">
      <c r="D497" t="str">
        <f ca="1">IF(SUM($D$2:D496)&gt;$B$4,"",D496+_xll.RiskExpon($B$3))</f>
        <v/>
      </c>
      <c r="E497" t="str">
        <f t="shared" ca="1" si="7"/>
        <v/>
      </c>
      <c r="F497" t="str">
        <f ca="1">IF(E497="","",_xll.RiskGamma($B$1,$B$2))</f>
        <v/>
      </c>
      <c r="G497" t="str">
        <f ca="1">IF(F497="","",$B$6+C497*$B$5-SUM($F$2:F497))</f>
        <v/>
      </c>
    </row>
    <row r="498" spans="4:7" x14ac:dyDescent="0.25">
      <c r="D498" t="str">
        <f ca="1">IF(SUM($D$2:D497)&gt;$B$4,"",D497+_xll.RiskExpon($B$3))</f>
        <v/>
      </c>
      <c r="E498" t="str">
        <f t="shared" ca="1" si="7"/>
        <v/>
      </c>
      <c r="F498" t="str">
        <f ca="1">IF(E498="","",_xll.RiskGamma($B$1,$B$2))</f>
        <v/>
      </c>
      <c r="G498" t="str">
        <f ca="1">IF(F498="","",$B$6+C498*$B$5-SUM($F$2:F498))</f>
        <v/>
      </c>
    </row>
    <row r="499" spans="4:7" x14ac:dyDescent="0.25">
      <c r="D499" t="str">
        <f ca="1">IF(SUM($D$2:D498)&gt;$B$4,"",D498+_xll.RiskExpon($B$3))</f>
        <v/>
      </c>
      <c r="E499" t="str">
        <f t="shared" ca="1" si="7"/>
        <v/>
      </c>
      <c r="F499" t="str">
        <f ca="1">IF(E499="","",_xll.RiskGamma($B$1,$B$2))</f>
        <v/>
      </c>
    </row>
  </sheetData>
  <conditionalFormatting sqref="J2">
    <cfRule type="expression" dxfId="7" priority="1" stopIfTrue="1">
      <formula>RiskIsOutput</formula>
    </cfRule>
  </conditionalFormatting>
  <conditionalFormatting sqref="B7 F2:F499">
    <cfRule type="expression" dxfId="6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ammafin">
                <anchor moveWithCells="1" sizeWithCells="1">
                  <from>
                    <xdr:col>11</xdr:col>
                    <xdr:colOff>28575</xdr:colOff>
                    <xdr:row>0</xdr:row>
                    <xdr:rowOff>38100</xdr:rowOff>
                  </from>
                  <to>
                    <xdr:col>12</xdr:col>
                    <xdr:colOff>85725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499"/>
  <sheetViews>
    <sheetView workbookViewId="0">
      <selection activeCell="J16" sqref="J16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2</v>
      </c>
      <c r="B1">
        <v>1</v>
      </c>
      <c r="C1" s="2" t="s">
        <v>14</v>
      </c>
      <c r="D1" s="2" t="s">
        <v>13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3</v>
      </c>
      <c r="B2">
        <v>2</v>
      </c>
      <c r="C2">
        <f ca="1">INT(D2)</f>
        <v>0</v>
      </c>
      <c r="D2">
        <f ca="1">_xll.RiskExpon(B3)</f>
        <v>0.35510426737545558</v>
      </c>
      <c r="E2">
        <f>IF(B1="","",1)</f>
        <v>1</v>
      </c>
      <c r="F2">
        <f ca="1">IF(E2="","",_xll.RiskWeibull($B$1,$B$2))</f>
        <v>2.1499786898205717</v>
      </c>
      <c r="G2">
        <f ca="1">IF(F2="","",$B$5+C2*$B$4-F2)</f>
        <v>-1.1499786898205717</v>
      </c>
    </row>
    <row r="3" spans="1:10" x14ac:dyDescent="0.25">
      <c r="A3" s="1" t="s">
        <v>4</v>
      </c>
      <c r="B3">
        <v>1</v>
      </c>
      <c r="C3">
        <f ca="1">IF(D3="","",INT(SUM($D$2:D3)))</f>
        <v>3</v>
      </c>
      <c r="D3">
        <f ca="1">IF(D2&gt;$B$4,"",D2+_xll.RiskExpon(1/$B$3))</f>
        <v>3.149821766207014</v>
      </c>
      <c r="E3">
        <f ca="1">IF(E2&lt;$B$7,E2+1,"")</f>
        <v>2</v>
      </c>
      <c r="F3">
        <f ca="1">IF(E3="","",_xll.RiskWeibull($B$1,$B$2))</f>
        <v>0.19415123675661292</v>
      </c>
      <c r="G3">
        <f ca="1">IF(F3="","",$B$5+C3*$B$4-SUM($F$2:F3))</f>
        <v>28.655870073422815</v>
      </c>
    </row>
    <row r="4" spans="1:10" x14ac:dyDescent="0.25">
      <c r="A4" s="1" t="s">
        <v>5</v>
      </c>
      <c r="B4">
        <v>10</v>
      </c>
      <c r="C4">
        <f ca="1">IF(D4="","",INT(SUM($D$2:D4)))</f>
        <v>8</v>
      </c>
      <c r="D4">
        <f ca="1">IF(SUM($D$2:D3)&gt;$B$4,"",D3+_xll.RiskExpon(1/$B$3))</f>
        <v>5.2195035038360578</v>
      </c>
      <c r="E4">
        <f t="shared" ref="E4:E67" ca="1" si="0">IF(E3&lt;$B$7,E3+1,"")</f>
        <v>3</v>
      </c>
      <c r="F4">
        <f ca="1">IF(E4="","",_xll.RiskWeibull($B$1,$B$2))</f>
        <v>1.8347698428782371</v>
      </c>
      <c r="G4">
        <f ca="1">IF(F4="","",$B$5+C4*$B$4-SUM($F$2:F4))</f>
        <v>76.821100230544573</v>
      </c>
    </row>
    <row r="5" spans="1:10" x14ac:dyDescent="0.25">
      <c r="A5" s="1" t="s">
        <v>1</v>
      </c>
      <c r="B5">
        <v>1</v>
      </c>
      <c r="C5">
        <f ca="1">IF(D5="","",INT(SUM($D$2:D5)))</f>
        <v>15</v>
      </c>
      <c r="D5">
        <f ca="1">IF(SUM($D$2:D4)&gt;$B$4,"",D4+_xll.RiskExpon(1/$B$3))</f>
        <v>6.7021390160186574</v>
      </c>
      <c r="E5">
        <f t="shared" ca="1" si="0"/>
        <v>4</v>
      </c>
      <c r="F5">
        <f ca="1">IF(E5="","",_xll.RiskWeibull($B$1,$B$2))</f>
        <v>1.9250251611473923</v>
      </c>
      <c r="G5">
        <f ca="1">IF(F5="","",$B$5+C5*$B$4-SUM($F$2:F5))</f>
        <v>144.8960750693972</v>
      </c>
    </row>
    <row r="6" spans="1:10" x14ac:dyDescent="0.25">
      <c r="A6" s="1" t="s">
        <v>0</v>
      </c>
      <c r="B6">
        <v>10</v>
      </c>
      <c r="C6" t="str">
        <f ca="1">IF(D6="","",INT(SUM($D$2:D6)))</f>
        <v/>
      </c>
      <c r="D6" t="str">
        <f ca="1">IF(SUM($D$2:D5)&gt;$B$4,"",D5+_xll.RiskExpon(1/$B$3))</f>
        <v/>
      </c>
      <c r="E6" t="str">
        <f t="shared" ca="1" si="0"/>
        <v/>
      </c>
      <c r="F6" t="str">
        <f ca="1">IF(E6="","",_xll.RiskWeibull($B$1,$B$2))</f>
        <v/>
      </c>
      <c r="G6" t="str">
        <f ca="1">IF(F6="","",$B$5+C6*$B$4-SUM($F$2:F6))</f>
        <v/>
      </c>
    </row>
    <row r="7" spans="1:10" x14ac:dyDescent="0.25">
      <c r="A7" s="1" t="s">
        <v>6</v>
      </c>
      <c r="B7">
        <f ca="1">COUNT(C2:C101)</f>
        <v>4</v>
      </c>
      <c r="C7" t="str">
        <f ca="1">IF(D7="","",INT(SUM($D$2:D7)))</f>
        <v/>
      </c>
      <c r="D7" t="str">
        <f ca="1">IF(SUM($D$2:D6)&gt;$B$4,"",D6+_xll.RiskExpon(1/$B$3))</f>
        <v/>
      </c>
      <c r="E7" t="str">
        <f t="shared" ca="1" si="0"/>
        <v/>
      </c>
      <c r="F7" t="str">
        <f ca="1">IF(E7="","",_xll.RiskWeibull($B$1,$B$2))</f>
        <v/>
      </c>
      <c r="G7" t="str">
        <f ca="1">IF(F7="","",$B$5+C7*$B$4-SUM($F$2:F7))</f>
        <v/>
      </c>
    </row>
    <row r="8" spans="1:10" x14ac:dyDescent="0.25">
      <c r="C8" t="str">
        <f ca="1">IF(D8="","",INT(SUM($D$2:D8)))</f>
        <v/>
      </c>
      <c r="D8" t="str">
        <f ca="1">IF(SUM($D$2:D7)&gt;$B$4,"",D7+_xll.RiskExpon(1/$B$3))</f>
        <v/>
      </c>
      <c r="E8" t="str">
        <f t="shared" ca="1" si="0"/>
        <v/>
      </c>
      <c r="F8" t="str">
        <f ca="1">IF(E8="","",_xll.RiskWeibull($B$1,$B$2))</f>
        <v/>
      </c>
      <c r="G8" t="str">
        <f ca="1">IF(F8="","",$B$5+C8*$B$4-SUM($F$2:F8))</f>
        <v/>
      </c>
    </row>
    <row r="9" spans="1:10" x14ac:dyDescent="0.25">
      <c r="C9" t="str">
        <f ca="1">IF(D9="","",INT(SUM($D$2:D9)))</f>
        <v/>
      </c>
      <c r="D9" t="str">
        <f ca="1">IF(SUM($D$2:D8)&gt;$B$4,"",D8+_xll.RiskExpon(1/$B$3))</f>
        <v/>
      </c>
      <c r="E9" t="str">
        <f t="shared" ca="1" si="0"/>
        <v/>
      </c>
      <c r="F9" t="str">
        <f ca="1">IF(E9="","",_xll.RiskWeibull($B$1,$B$2))</f>
        <v/>
      </c>
      <c r="G9" t="str">
        <f ca="1">IF(F9="","",$B$5+C9*$B$4-SUM($F$2:F9))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IF(SUM($D$2:D9)&gt;$B$4,"",D9+_xll.RiskExpon(1/$B$3))</f>
        <v/>
      </c>
      <c r="E10" t="str">
        <f t="shared" ca="1" si="0"/>
        <v/>
      </c>
      <c r="F10" t="str">
        <f ca="1">IF(E10="","",_xll.RiskWeibull($B$1,$B$2))</f>
        <v/>
      </c>
      <c r="G10" t="str">
        <f ca="1">IF(F10="","",$B$5+C10*$B$4-SUM($F$2:F10))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IF(SUM($D$2:D10)&gt;$B$4,"",D10+_xll.RiskExpon(1/$B$3))</f>
        <v/>
      </c>
      <c r="E11" t="str">
        <f t="shared" ca="1" si="0"/>
        <v/>
      </c>
      <c r="F11" t="str">
        <f ca="1">IF(E11="","",_xll.RiskWeibull($B$1,$B$2))</f>
        <v/>
      </c>
      <c r="G11" t="str">
        <f ca="1">IF(F11="","",$B$5+C11*$B$4-SUM($F$2:F11))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IF(SUM($D$2:D11)&gt;$B$4,"",D11+_xll.RiskExpon(1/$B$3))</f>
        <v/>
      </c>
      <c r="E12" t="str">
        <f t="shared" ca="1" si="0"/>
        <v/>
      </c>
      <c r="F12" t="str">
        <f ca="1">IF(E12="","",_xll.RiskWeibull($B$1,$B$2))</f>
        <v/>
      </c>
      <c r="G12" t="str">
        <f ca="1">IF(F12="","",$B$5+C12*$B$4-SUM($F$2:F12))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IF(SUM($D$2:D12)&gt;$B$4,"",D12+_xll.RiskExpon(1/$B$3))</f>
        <v/>
      </c>
      <c r="E13" t="str">
        <f t="shared" ca="1" si="0"/>
        <v/>
      </c>
      <c r="F13" t="str">
        <f ca="1">IF(E13="","",_xll.RiskWeibull($B$1,$B$2))</f>
        <v/>
      </c>
      <c r="G13" t="str">
        <f ca="1">IF(F13="","",$B$5+C13*$B$4-SUM($F$2:F13))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IF(SUM($D$2:D13)&gt;$B$4,"",D13+_xll.RiskExpon(1/$B$3))</f>
        <v/>
      </c>
      <c r="E14" t="str">
        <f t="shared" ca="1" si="0"/>
        <v/>
      </c>
      <c r="F14" t="str">
        <f ca="1">IF(E14="","",_xll.RiskWeibull($B$1,$B$2))</f>
        <v/>
      </c>
      <c r="G14" t="str">
        <f ca="1">IF(F14="","",$B$5+C14*$B$4-SUM($F$2:F14))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IF(SUM($D$2:D14)&gt;$B$4,"",D14+_xll.RiskExpon(1/$B$3))</f>
        <v/>
      </c>
      <c r="E15" t="str">
        <f t="shared" ca="1" si="0"/>
        <v/>
      </c>
      <c r="F15" t="str">
        <f ca="1">IF(E15="","",_xll.RiskWeibull($B$1,$B$2))</f>
        <v/>
      </c>
      <c r="G15" t="str">
        <f ca="1">IF(F15="","",$B$5+C15*$B$4-SUM($F$2:F15))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IF(SUM($D$2:D15)&gt;$B$4,"",D15+_xll.RiskExpon(1/$B$3))</f>
        <v/>
      </c>
      <c r="E16" t="str">
        <f t="shared" ca="1" si="0"/>
        <v/>
      </c>
      <c r="F16" t="str">
        <f ca="1">IF(E16="","",_xll.RiskWeibull($B$1,$B$2))</f>
        <v/>
      </c>
      <c r="G16" t="str">
        <f ca="1">IF(F16="","",$B$5+C16*$B$4-SUM($F$2:F16))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IF(SUM($D$2:D16)&gt;$B$4,"",D16+_xll.RiskExpon(1/$B$3))</f>
        <v/>
      </c>
      <c r="E17" t="str">
        <f t="shared" ca="1" si="0"/>
        <v/>
      </c>
      <c r="F17" t="str">
        <f ca="1">IF(E17="","",_xll.RiskWeibull($B$1,$B$2))</f>
        <v/>
      </c>
      <c r="G17" t="str">
        <f ca="1">IF(F17="","",$B$5+C17*$B$4-SUM($F$2:F17))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IF(SUM($D$2:D17)&gt;$B$4,"",D17+_xll.RiskExpon(1/$B$3))</f>
        <v/>
      </c>
      <c r="E18" t="str">
        <f t="shared" ca="1" si="0"/>
        <v/>
      </c>
      <c r="F18" t="str">
        <f ca="1">IF(E18="","",_xll.RiskWeibull($B$1,$B$2))</f>
        <v/>
      </c>
      <c r="G18" t="str">
        <f ca="1">IF(F18="","",$B$5+C18*$B$4-SUM($F$2:F18))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IF(SUM($D$2:D18)&gt;$B$4,"",D18+_xll.RiskExpon(1/$B$3))</f>
        <v/>
      </c>
      <c r="E19" t="str">
        <f t="shared" ca="1" si="0"/>
        <v/>
      </c>
      <c r="F19" t="str">
        <f ca="1">IF(E19="","",_xll.RiskWeibull($B$1,$B$2))</f>
        <v/>
      </c>
      <c r="G19" t="str">
        <f ca="1">IF(F19="","",$B$5+C19*$B$4-SUM($F$2:F19))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IF(SUM($D$2:D19)&gt;$B$4,"",D19+_xll.RiskExpon(1/$B$3))</f>
        <v/>
      </c>
      <c r="E20" t="str">
        <f t="shared" ca="1" si="0"/>
        <v/>
      </c>
      <c r="F20" t="str">
        <f ca="1">IF(E20="","",_xll.RiskWeibull($B$1,$B$2))</f>
        <v/>
      </c>
      <c r="G20" t="str">
        <f ca="1">IF(F20="","",$B$5+C20*$B$4-SUM($F$2:F20))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IF(SUM($D$2:D20)&gt;$B$4,"",D20+_xll.RiskExpon(1/$B$3))</f>
        <v/>
      </c>
      <c r="E21" t="str">
        <f t="shared" ca="1" si="0"/>
        <v/>
      </c>
      <c r="F21" t="str">
        <f ca="1">IF(E21="","",_xll.RiskWeibull($B$1,$B$2))</f>
        <v/>
      </c>
      <c r="G21" t="str">
        <f ca="1">IF(F21="","",$B$5+C21*$B$4-SUM($F$2:F21))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IF(SUM($D$2:D21)&gt;$B$4,"",D21+_xll.RiskExpon(1/$B$3))</f>
        <v/>
      </c>
      <c r="E22" t="str">
        <f t="shared" ca="1" si="0"/>
        <v/>
      </c>
      <c r="F22" t="str">
        <f ca="1">IF(E22="","",_xll.RiskWeibull($B$1,$B$2))</f>
        <v/>
      </c>
      <c r="G22" t="str">
        <f ca="1">IF(F22="","",$B$5+C22*$B$4-SUM($F$2:F22))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IF(SUM($D$2:D22)&gt;$B$4,"",D22+_xll.RiskExpon(1/$B$3))</f>
        <v/>
      </c>
      <c r="E23" t="str">
        <f t="shared" ca="1" si="0"/>
        <v/>
      </c>
      <c r="F23" t="str">
        <f ca="1">IF(E23="","",_xll.RiskWeibull($B$1,$B$2))</f>
        <v/>
      </c>
      <c r="G23" t="str">
        <f ca="1">IF(F23="","",$B$5+C23*$B$4-SUM($F$2:F23))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IF(SUM($D$2:D23)&gt;$B$4,"",D23+_xll.RiskExpon(1/$B$3))</f>
        <v/>
      </c>
      <c r="E24" t="str">
        <f t="shared" ca="1" si="0"/>
        <v/>
      </c>
      <c r="F24" t="str">
        <f ca="1">IF(E24="","",_xll.RiskWeibull($B$1,$B$2))</f>
        <v/>
      </c>
      <c r="G24" t="str">
        <f ca="1">IF(F24="","",$B$5+C24*$B$4-SUM($F$2:F24))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IF(SUM($D$2:D24)&gt;$B$4,"",D24+_xll.RiskExpon(1/$B$3))</f>
        <v/>
      </c>
      <c r="E25" t="str">
        <f t="shared" ca="1" si="0"/>
        <v/>
      </c>
      <c r="F25" t="str">
        <f ca="1">IF(E25="","",_xll.RiskWeibull($B$1,$B$2))</f>
        <v/>
      </c>
      <c r="G25" t="str">
        <f ca="1">IF(F25="","",$B$5+C25*$B$4-SUM($F$2:F25))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IF(SUM($D$2:D25)&gt;$B$4,"",D25+_xll.RiskExpon(1/$B$3))</f>
        <v/>
      </c>
      <c r="E26" t="str">
        <f t="shared" ca="1" si="0"/>
        <v/>
      </c>
      <c r="F26" t="str">
        <f ca="1">IF(E26="","",_xll.RiskWeibull($B$1,$B$2))</f>
        <v/>
      </c>
      <c r="G26" t="str">
        <f ca="1">IF(F26="","",$B$5+C26*$B$4-SUM($F$2:F26))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IF(SUM($D$2:D26)&gt;$B$4,"",D26+_xll.RiskExpon(1/$B$3))</f>
        <v/>
      </c>
      <c r="E27" t="str">
        <f t="shared" ca="1" si="0"/>
        <v/>
      </c>
      <c r="F27" t="str">
        <f ca="1">IF(E27="","",_xll.RiskWeibull($B$1,$B$2))</f>
        <v/>
      </c>
      <c r="G27" t="str">
        <f ca="1">IF(F27="","",$B$5+C27*$B$4-SUM($F$2:F27))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IF(SUM($D$2:D27)&gt;$B$4,"",D27+_xll.RiskExpon(1/$B$3))</f>
        <v/>
      </c>
      <c r="E28" t="str">
        <f t="shared" ca="1" si="0"/>
        <v/>
      </c>
      <c r="F28" t="str">
        <f ca="1">IF(E28="","",_xll.RiskWeibull($B$1,$B$2))</f>
        <v/>
      </c>
      <c r="G28" t="str">
        <f ca="1">IF(F28="","",$B$5+C28*$B$4-SUM($F$2:F28))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IF(SUM($D$2:D28)&gt;$B$4,"",D28+_xll.RiskExpon(1/$B$3))</f>
        <v/>
      </c>
      <c r="E29" t="str">
        <f t="shared" ca="1" si="0"/>
        <v/>
      </c>
      <c r="F29" t="str">
        <f ca="1">IF(E29="","",_xll.RiskWeibull($B$1,$B$2))</f>
        <v/>
      </c>
      <c r="G29" t="str">
        <f ca="1">IF(F29="","",$B$5+C29*$B$4-SUM($F$2:F29))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IF(SUM($D$2:D29)&gt;$B$4,"",D29+_xll.RiskExpon(1/$B$3))</f>
        <v/>
      </c>
      <c r="E30" t="str">
        <f t="shared" ca="1" si="0"/>
        <v/>
      </c>
      <c r="F30" t="str">
        <f ca="1">IF(E30="","",_xll.RiskWeibull($B$1,$B$2))</f>
        <v/>
      </c>
      <c r="G30" t="str">
        <f ca="1">IF(F30="","",$B$5+C30*$B$4-SUM($F$2:F30))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IF(SUM($D$2:D30)&gt;$B$4,"",D30+_xll.RiskExpon(1/$B$3))</f>
        <v/>
      </c>
      <c r="E31" t="str">
        <f t="shared" ca="1" si="0"/>
        <v/>
      </c>
      <c r="F31" t="str">
        <f ca="1">IF(E31="","",_xll.RiskWeibull($B$1,$B$2))</f>
        <v/>
      </c>
      <c r="G31" t="str">
        <f ca="1">IF(F31="","",$B$5+C31*$B$4-SUM($F$2:F31))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IF(SUM($D$2:D31)&gt;$B$4,"",D31+_xll.RiskExpon(1/$B$3))</f>
        <v/>
      </c>
      <c r="E32" t="str">
        <f t="shared" ca="1" si="0"/>
        <v/>
      </c>
      <c r="F32" t="str">
        <f ca="1">IF(E32="","",_xll.RiskWeibull($B$1,$B$2))</f>
        <v/>
      </c>
      <c r="G32" t="str">
        <f ca="1">IF(F32="","",$B$5+C32*$B$4-SUM($F$2:F32))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IF(SUM($D$2:D32)&gt;$B$4,"",D32+_xll.RiskExpon(1/$B$3))</f>
        <v/>
      </c>
      <c r="E33" t="str">
        <f t="shared" ca="1" si="0"/>
        <v/>
      </c>
      <c r="F33" t="str">
        <f ca="1">IF(E33="","",_xll.RiskWeibull($B$1,$B$2))</f>
        <v/>
      </c>
      <c r="G33" t="str">
        <f ca="1">IF(F33="","",$B$5+C33*$B$4-SUM($F$2:F33))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IF(SUM($D$2:D33)&gt;$B$4,"",D33+_xll.RiskExpon(1/$B$3))</f>
        <v/>
      </c>
      <c r="E34" t="str">
        <f t="shared" ca="1" si="0"/>
        <v/>
      </c>
      <c r="F34" t="str">
        <f ca="1">IF(E34="","",_xll.RiskWeibull($B$1,$B$2))</f>
        <v/>
      </c>
      <c r="G34" t="str">
        <f ca="1">IF(F34="","",$B$5+C34*$B$4-SUM($F$2:F34))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IF(SUM($D$2:D34)&gt;$B$4,"",D34+_xll.RiskExpon(1/$B$3))</f>
        <v/>
      </c>
      <c r="E35" t="str">
        <f t="shared" ca="1" si="0"/>
        <v/>
      </c>
      <c r="F35" t="str">
        <f ca="1">IF(E35="","",_xll.RiskWeibull($B$1,$B$2))</f>
        <v/>
      </c>
      <c r="G35" t="str">
        <f ca="1">IF(F35="","",$B$5+C35*$B$4-SUM($F$2:F35))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IF(SUM($D$2:D35)&gt;$B$4,"",D35+_xll.RiskExpon(1/$B$3))</f>
        <v/>
      </c>
      <c r="E36" t="str">
        <f t="shared" ca="1" si="0"/>
        <v/>
      </c>
      <c r="F36" t="str">
        <f ca="1">IF(E36="","",_xll.RiskWeibull($B$1,$B$2))</f>
        <v/>
      </c>
      <c r="G36" t="str">
        <f ca="1">IF(F36="","",$B$5+C36*$B$4-SUM($F$2:F36))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IF(SUM($D$2:D36)&gt;$B$4,"",D36+_xll.RiskExpon(1/$B$3))</f>
        <v/>
      </c>
      <c r="E37" t="str">
        <f t="shared" ca="1" si="0"/>
        <v/>
      </c>
      <c r="F37" t="str">
        <f ca="1">IF(E37="","",_xll.RiskWeibull($B$1,$B$2))</f>
        <v/>
      </c>
      <c r="G37" t="str">
        <f ca="1">IF(F37="","",$B$5+C37*$B$4-SUM($F$2:F37))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IF(SUM($D$2:D37)&gt;$B$4,"",D37+_xll.RiskExpon(1/$B$3))</f>
        <v/>
      </c>
      <c r="E38" t="str">
        <f t="shared" ca="1" si="0"/>
        <v/>
      </c>
      <c r="F38" t="str">
        <f ca="1">IF(E38="","",_xll.RiskWeibull($B$1,$B$2))</f>
        <v/>
      </c>
      <c r="G38" t="str">
        <f ca="1">IF(F38="","",$B$5+C38*$B$4-SUM($F$2:F38))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IF(SUM($D$2:D38)&gt;$B$4,"",D38+_xll.RiskExpon(1/$B$3))</f>
        <v/>
      </c>
      <c r="E39" t="str">
        <f t="shared" ca="1" si="0"/>
        <v/>
      </c>
      <c r="F39" t="str">
        <f ca="1">IF(E39="","",_xll.RiskWeibull($B$1,$B$2))</f>
        <v/>
      </c>
      <c r="G39" t="str">
        <f ca="1">IF(F39="","",$B$5+C39*$B$4-SUM($F$2:F39))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IF(SUM($D$2:D39)&gt;$B$4,"",D39+_xll.RiskExpon(1/$B$3))</f>
        <v/>
      </c>
      <c r="E40" t="str">
        <f t="shared" ca="1" si="0"/>
        <v/>
      </c>
      <c r="F40" t="str">
        <f ca="1">IF(E40="","",_xll.RiskWeibull($B$1,$B$2))</f>
        <v/>
      </c>
      <c r="G40" t="str">
        <f ca="1">IF(F40="","",$B$5+C40*$B$4-SUM($F$2:F40))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IF(SUM($D$2:D40)&gt;$B$4,"",D40+_xll.RiskExpon(1/$B$3))</f>
        <v/>
      </c>
      <c r="E41" t="str">
        <f t="shared" ca="1" si="0"/>
        <v/>
      </c>
      <c r="F41" t="str">
        <f ca="1">IF(E41="","",_xll.RiskWeibull($B$1,$B$2))</f>
        <v/>
      </c>
      <c r="G41" t="str">
        <f ca="1">IF(F41="","",$B$5+C41*$B$4-SUM($F$2:F41))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IF(SUM($D$2:D41)&gt;$B$4,"",D41+_xll.RiskExpon(1/$B$3))</f>
        <v/>
      </c>
      <c r="E42" t="str">
        <f t="shared" ca="1" si="0"/>
        <v/>
      </c>
      <c r="F42" t="str">
        <f ca="1">IF(E42="","",_xll.RiskWeibull($B$1,$B$2))</f>
        <v/>
      </c>
      <c r="G42" t="str">
        <f ca="1">IF(F42="","",$B$5+C42*$B$4-SUM($F$2:F42))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IF(SUM($D$2:D42)&gt;$B$4,"",D42+_xll.RiskExpon(1/$B$3))</f>
        <v/>
      </c>
      <c r="E43" t="str">
        <f t="shared" ca="1" si="0"/>
        <v/>
      </c>
      <c r="F43" t="str">
        <f ca="1">IF(E43="","",_xll.RiskWeibull($B$1,$B$2))</f>
        <v/>
      </c>
      <c r="G43" t="str">
        <f ca="1">IF(F43="","",$B$5+C43*$B$4-SUM($F$2:F43))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IF(SUM($D$2:D43)&gt;$B$4,"",D43+_xll.RiskExpon(1/$B$3))</f>
        <v/>
      </c>
      <c r="E44" t="str">
        <f t="shared" ca="1" si="0"/>
        <v/>
      </c>
      <c r="F44" t="str">
        <f ca="1">IF(E44="","",_xll.RiskWeibull($B$1,$B$2))</f>
        <v/>
      </c>
      <c r="G44" t="str">
        <f ca="1">IF(F44="","",$B$5+C44*$B$4-SUM($F$2:F44))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IF(SUM($D$2:D44)&gt;$B$4,"",D44+_xll.RiskExpon(1/$B$3))</f>
        <v/>
      </c>
      <c r="E45" t="str">
        <f t="shared" ca="1" si="0"/>
        <v/>
      </c>
      <c r="F45" t="str">
        <f ca="1">IF(E45="","",_xll.RiskWeibull($B$1,$B$2))</f>
        <v/>
      </c>
      <c r="G45" t="str">
        <f ca="1">IF(F45="","",$B$5+C45*$B$4-SUM($F$2:F45))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IF(SUM($D$2:D45)&gt;$B$4,"",D45+_xll.RiskExpon(1/$B$3))</f>
        <v/>
      </c>
      <c r="E46" t="str">
        <f t="shared" ca="1" si="0"/>
        <v/>
      </c>
      <c r="F46" t="str">
        <f ca="1">IF(E46="","",_xll.RiskWeibull($B$1,$B$2))</f>
        <v/>
      </c>
      <c r="G46" t="str">
        <f ca="1">IF(F46="","",$B$5+C46*$B$4-SUM($F$2:F46))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IF(SUM($D$2:D46)&gt;$B$4,"",D46+_xll.RiskExpon(1/$B$3))</f>
        <v/>
      </c>
      <c r="E47" t="str">
        <f t="shared" ca="1" si="0"/>
        <v/>
      </c>
      <c r="F47" t="str">
        <f ca="1">IF(E47="","",_xll.RiskWeibull($B$1,$B$2))</f>
        <v/>
      </c>
      <c r="G47" t="str">
        <f ca="1">IF(F47="","",$B$5+C47*$B$4-SUM($F$2:F47))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IF(SUM($D$2:D47)&gt;$B$4,"",D47+_xll.RiskExpon(1/$B$3))</f>
        <v/>
      </c>
      <c r="E48" t="str">
        <f t="shared" ca="1" si="0"/>
        <v/>
      </c>
      <c r="F48" t="str">
        <f ca="1">IF(E48="","",_xll.RiskWeibull($B$1,$B$2))</f>
        <v/>
      </c>
      <c r="G48" t="str">
        <f ca="1">IF(F48="","",$B$5+C48*$B$4-SUM($F$2:F48))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IF(SUM($D$2:D48)&gt;$B$4,"",D48+_xll.RiskExpon(1/$B$3))</f>
        <v/>
      </c>
      <c r="E49" t="str">
        <f t="shared" ca="1" si="0"/>
        <v/>
      </c>
      <c r="F49" t="str">
        <f ca="1">IF(E49="","",_xll.RiskWeibull($B$1,$B$2))</f>
        <v/>
      </c>
      <c r="G49" t="str">
        <f ca="1">IF(F49="","",$B$5+C49*$B$4-SUM($F$2:F49))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IF(SUM($D$2:D49)&gt;$B$4,"",D49+_xll.RiskExpon(1/$B$3))</f>
        <v/>
      </c>
      <c r="E50" t="str">
        <f t="shared" ca="1" si="0"/>
        <v/>
      </c>
      <c r="F50" t="str">
        <f ca="1">IF(E50="","",_xll.RiskWeibull($B$1,$B$2))</f>
        <v/>
      </c>
      <c r="G50" t="str">
        <f ca="1">IF(F50="","",$B$5+C50*$B$4-SUM($F$2:F50))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IF(SUM($D$2:D50)&gt;$B$4,"",D50+_xll.RiskExpon(1/$B$3))</f>
        <v/>
      </c>
      <c r="E51" t="str">
        <f t="shared" ca="1" si="0"/>
        <v/>
      </c>
      <c r="F51" t="str">
        <f ca="1">IF(E51="","",_xll.RiskWeibull($B$1,$B$2))</f>
        <v/>
      </c>
      <c r="G51" t="str">
        <f ca="1">IF(F51="","",$B$5+C51*$B$4-SUM($F$2:F51))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IF(SUM($D$2:D51)&gt;$B$4,"",D51+_xll.RiskExpon(1/$B$3))</f>
        <v/>
      </c>
      <c r="E52" t="str">
        <f t="shared" ca="1" si="0"/>
        <v/>
      </c>
      <c r="F52" t="str">
        <f ca="1">IF(E52="","",_xll.RiskWeibull($B$1,$B$2))</f>
        <v/>
      </c>
      <c r="G52" t="str">
        <f ca="1">IF(F52="","",$B$5+C52*$B$4-SUM($F$2:F52))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IF(SUM($D$2:D52)&gt;$B$4,"",D52+_xll.RiskExpon(1/$B$3))</f>
        <v/>
      </c>
      <c r="E53" t="str">
        <f t="shared" ca="1" si="0"/>
        <v/>
      </c>
      <c r="F53" t="str">
        <f ca="1">IF(E53="","",_xll.RiskWeibull($B$1,$B$2))</f>
        <v/>
      </c>
      <c r="G53" t="str">
        <f ca="1">IF(F53="","",$B$5+C53*$B$4-SUM($F$2:F53))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IF(SUM($D$2:D53)&gt;$B$4,"",D53+_xll.RiskExpon(1/$B$3))</f>
        <v/>
      </c>
      <c r="E54" t="str">
        <f t="shared" ca="1" si="0"/>
        <v/>
      </c>
      <c r="F54" t="str">
        <f ca="1">IF(E54="","",_xll.RiskWeibull($B$1,$B$2))</f>
        <v/>
      </c>
      <c r="G54" t="str">
        <f ca="1">IF(F54="","",$B$5+C54*$B$4-SUM($F$2:F54))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IF(SUM($D$2:D54)&gt;$B$4,"",D54+_xll.RiskExpon(1/$B$3))</f>
        <v/>
      </c>
      <c r="E55" t="str">
        <f t="shared" ca="1" si="0"/>
        <v/>
      </c>
      <c r="F55" t="str">
        <f ca="1">IF(E55="","",_xll.RiskWeibull($B$1,$B$2))</f>
        <v/>
      </c>
      <c r="G55" t="str">
        <f ca="1">IF(F55="","",$B$5+C55*$B$4-SUM($F$2:F55))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IF(SUM($D$2:D55)&gt;$B$4,"",D55+_xll.RiskExpon(1/$B$3))</f>
        <v/>
      </c>
      <c r="E56" t="str">
        <f t="shared" ca="1" si="0"/>
        <v/>
      </c>
      <c r="F56" t="str">
        <f ca="1">IF(E56="","",_xll.RiskWeibull($B$1,$B$2))</f>
        <v/>
      </c>
      <c r="G56" t="str">
        <f ca="1">IF(F56="","",$B$5+C56*$B$4-SUM($F$2:F56))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IF(SUM($D$2:D56)&gt;$B$4,"",D56+_xll.RiskExpon(1/$B$3))</f>
        <v/>
      </c>
      <c r="E57" t="str">
        <f t="shared" ca="1" si="0"/>
        <v/>
      </c>
      <c r="F57" t="str">
        <f ca="1">IF(E57="","",_xll.RiskWeibull($B$1,$B$2))</f>
        <v/>
      </c>
      <c r="G57" t="str">
        <f ca="1">IF(F57="","",$B$5+C57*$B$4-SUM($F$2:F57))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IF(SUM($D$2:D57)&gt;$B$4,"",D57+_xll.RiskExpon(1/$B$3))</f>
        <v/>
      </c>
      <c r="E58" t="str">
        <f t="shared" ca="1" si="0"/>
        <v/>
      </c>
      <c r="F58" t="str">
        <f ca="1">IF(E58="","",_xll.RiskWeibull($B$1,$B$2))</f>
        <v/>
      </c>
      <c r="G58" t="str">
        <f ca="1">IF(F58="","",$B$5+C58*$B$4-SUM($F$2:F58))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IF(SUM($D$2:D58)&gt;$B$4,"",D58+_xll.RiskExpon(1/$B$3))</f>
        <v/>
      </c>
      <c r="E59" t="str">
        <f t="shared" ca="1" si="0"/>
        <v/>
      </c>
      <c r="F59" t="str">
        <f ca="1">IF(E59="","",_xll.RiskWeibull($B$1,$B$2))</f>
        <v/>
      </c>
      <c r="G59" t="str">
        <f ca="1">IF(F59="","",$B$5+C59*$B$4-SUM($F$2:F59))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IF(SUM($D$2:D59)&gt;$B$4,"",D59+_xll.RiskExpon(1/$B$3))</f>
        <v/>
      </c>
      <c r="E60" t="str">
        <f t="shared" ca="1" si="0"/>
        <v/>
      </c>
      <c r="F60" t="str">
        <f ca="1">IF(E60="","",_xll.RiskWeibull($B$1,$B$2))</f>
        <v/>
      </c>
      <c r="G60" t="str">
        <f ca="1">IF(F60="","",$B$5+C60*$B$4-SUM($F$2:F60))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IF(SUM($D$2:D60)&gt;$B$4,"",D60+_xll.RiskExpon(1/$B$3))</f>
        <v/>
      </c>
      <c r="E61" t="str">
        <f t="shared" ca="1" si="0"/>
        <v/>
      </c>
      <c r="F61" t="str">
        <f ca="1">IF(E61="","",_xll.RiskWeibull($B$1,$B$2))</f>
        <v/>
      </c>
      <c r="G61" t="str">
        <f ca="1">IF(F61="","",$B$5+C61*$B$4-SUM($F$2:F61))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IF(SUM($D$2:D61)&gt;$B$4,"",D61+_xll.RiskExpon(1/$B$3))</f>
        <v/>
      </c>
      <c r="E62" t="str">
        <f t="shared" ca="1" si="0"/>
        <v/>
      </c>
      <c r="F62" t="str">
        <f ca="1">IF(E62="","",_xll.RiskWeibull($B$1,$B$2))</f>
        <v/>
      </c>
      <c r="G62" t="str">
        <f ca="1">IF(F62="","",$B$5+C62*$B$4-SUM($F$2:F62))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IF(SUM($D$2:D62)&gt;$B$4,"",D62+_xll.RiskExpon(1/$B$3))</f>
        <v/>
      </c>
      <c r="E63" t="str">
        <f t="shared" ca="1" si="0"/>
        <v/>
      </c>
      <c r="F63" t="str">
        <f ca="1">IF(E63="","",_xll.RiskWeibull($B$1,$B$2))</f>
        <v/>
      </c>
      <c r="G63" t="str">
        <f ca="1">IF(F63="","",$B$5+C63*$B$4-SUM($F$2:F63))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IF(SUM($D$2:D63)&gt;$B$4,"",D63+_xll.RiskExpon(1/$B$3))</f>
        <v/>
      </c>
      <c r="E64" t="str">
        <f t="shared" ca="1" si="0"/>
        <v/>
      </c>
      <c r="F64" t="str">
        <f ca="1">IF(E64="","",_xll.RiskWeibull($B$1,$B$2))</f>
        <v/>
      </c>
      <c r="G64" t="str">
        <f ca="1">IF(F64="","",$B$5+C64*$B$4-SUM($F$2:F64))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IF(SUM($D$2:D64)&gt;$B$4,"",D64+_xll.RiskExpon(1/$B$3))</f>
        <v/>
      </c>
      <c r="E65" t="str">
        <f t="shared" ca="1" si="0"/>
        <v/>
      </c>
      <c r="F65" t="str">
        <f ca="1">IF(E65="","",_xll.RiskWeibull($B$1,$B$2))</f>
        <v/>
      </c>
      <c r="G65" t="str">
        <f ca="1">IF(F65="","",$B$5+C65*$B$4-SUM($F$2:F65))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IF(SUM($D$2:D65)&gt;$B$4,"",D65+_xll.RiskExpon(1/$B$3))</f>
        <v/>
      </c>
      <c r="E66" t="str">
        <f t="shared" ca="1" si="0"/>
        <v/>
      </c>
      <c r="F66" t="str">
        <f ca="1">IF(E66="","",_xll.RiskWeibull($B$1,$B$2))</f>
        <v/>
      </c>
      <c r="G66" t="str">
        <f ca="1">IF(F66="","",$B$5+C66*$B$4-SUM($F$2:F66))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IF(SUM($D$2:D66)&gt;$B$4,"",D66+_xll.RiskExpon(1/$B$3))</f>
        <v/>
      </c>
      <c r="E67" t="str">
        <f t="shared" ca="1" si="0"/>
        <v/>
      </c>
      <c r="F67" t="str">
        <f ca="1">IF(E67="","",_xll.RiskWeibull($B$1,$B$2))</f>
        <v/>
      </c>
      <c r="G67" t="str">
        <f ca="1">IF(F67="","",$B$5+C67*$B$4-SUM($F$2:F67))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IF(SUM($D$2:D67)&gt;$B$4,"",D67+_xll.RiskExpon(1/$B$3))</f>
        <v/>
      </c>
      <c r="E68" t="str">
        <f t="shared" ref="E68:E131" ca="1" si="1">IF(E67&lt;$B$7,E67+1,"")</f>
        <v/>
      </c>
      <c r="F68" t="str">
        <f ca="1">IF(E68="","",_xll.RiskWeibull($B$1,$B$2))</f>
        <v/>
      </c>
      <c r="G68" t="str">
        <f ca="1">IF(F68="","",$B$5+C68*$B$4-SUM($F$2:F68))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IF(SUM($D$2:D68)&gt;$B$4,"",D68+_xll.RiskExpon(1/$B$3))</f>
        <v/>
      </c>
      <c r="E69" t="str">
        <f t="shared" ca="1" si="1"/>
        <v/>
      </c>
      <c r="F69" t="str">
        <f ca="1">IF(E69="","",_xll.RiskWeibull($B$1,$B$2))</f>
        <v/>
      </c>
      <c r="G69" t="str">
        <f ca="1">IF(F69="","",$B$5+C69*$B$4-SUM($F$2:F69))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IF(SUM($D$2:D69)&gt;$B$4,"",D69+_xll.RiskExpon(1/$B$3))</f>
        <v/>
      </c>
      <c r="E70" t="str">
        <f t="shared" ca="1" si="1"/>
        <v/>
      </c>
      <c r="F70" t="str">
        <f ca="1">IF(E70="","",_xll.RiskWeibull($B$1,$B$2))</f>
        <v/>
      </c>
      <c r="G70" t="str">
        <f ca="1">IF(F70="","",$B$5+C70*$B$4-SUM($F$2:F70))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IF(SUM($D$2:D70)&gt;$B$4,"",D70+_xll.RiskExpon(1/$B$3))</f>
        <v/>
      </c>
      <c r="E71" t="str">
        <f t="shared" ca="1" si="1"/>
        <v/>
      </c>
      <c r="F71" t="str">
        <f ca="1">IF(E71="","",_xll.RiskWeibull($B$1,$B$2))</f>
        <v/>
      </c>
      <c r="G71" t="str">
        <f ca="1">IF(F71="","",$B$5+C71*$B$4-SUM($F$2:F71))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IF(SUM($D$2:D71)&gt;$B$4,"",D71+_xll.RiskExpon(1/$B$3))</f>
        <v/>
      </c>
      <c r="E72" t="str">
        <f t="shared" ca="1" si="1"/>
        <v/>
      </c>
      <c r="F72" t="str">
        <f ca="1">IF(E72="","",_xll.RiskWeibull($B$1,$B$2))</f>
        <v/>
      </c>
      <c r="G72" t="str">
        <f ca="1">IF(F72="","",$B$5+C72*$B$4-SUM($F$2:F72))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IF(SUM($D$2:D72)&gt;$B$4,"",D72+_xll.RiskExpon(1/$B$3))</f>
        <v/>
      </c>
      <c r="E73" t="str">
        <f t="shared" ca="1" si="1"/>
        <v/>
      </c>
      <c r="F73" t="str">
        <f ca="1">IF(E73="","",_xll.RiskWeibull($B$1,$B$2))</f>
        <v/>
      </c>
      <c r="G73" t="str">
        <f ca="1">IF(F73="","",$B$5+C73*$B$4-SUM($F$2:F73))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IF(SUM($D$2:D73)&gt;$B$4,"",D73+_xll.RiskExpon(1/$B$3))</f>
        <v/>
      </c>
      <c r="E74" t="str">
        <f t="shared" ca="1" si="1"/>
        <v/>
      </c>
      <c r="F74" t="str">
        <f ca="1">IF(E74="","",_xll.RiskWeibull($B$1,$B$2))</f>
        <v/>
      </c>
      <c r="G74" t="str">
        <f ca="1">IF(F74="","",$B$5+C74*$B$4-SUM($F$2:F74))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IF(SUM($D$2:D74)&gt;$B$4,"",D74+_xll.RiskExpon(1/$B$3))</f>
        <v/>
      </c>
      <c r="E75" t="str">
        <f t="shared" ca="1" si="1"/>
        <v/>
      </c>
      <c r="F75" t="str">
        <f ca="1">IF(E75="","",_xll.RiskWeibull($B$1,$B$2))</f>
        <v/>
      </c>
      <c r="G75" t="str">
        <f ca="1">IF(F75="","",$B$5+C75*$B$4-SUM($F$2:F75))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IF(SUM($D$2:D75)&gt;$B$4,"",D75+_xll.RiskExpon(1/$B$3))</f>
        <v/>
      </c>
      <c r="E76" t="str">
        <f t="shared" ca="1" si="1"/>
        <v/>
      </c>
      <c r="F76" t="str">
        <f ca="1">IF(E76="","",_xll.RiskWeibull($B$1,$B$2))</f>
        <v/>
      </c>
      <c r="G76" t="str">
        <f ca="1">IF(F76="","",$B$5+C76*$B$4-SUM($F$2:F76))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IF(SUM($D$2:D76)&gt;$B$4,"",D76+_xll.RiskExpon(1/$B$3))</f>
        <v/>
      </c>
      <c r="E77" t="str">
        <f t="shared" ca="1" si="1"/>
        <v/>
      </c>
      <c r="F77" t="str">
        <f ca="1">IF(E77="","",_xll.RiskWeibull($B$1,$B$2))</f>
        <v/>
      </c>
      <c r="G77" t="str">
        <f ca="1">IF(F77="","",$B$5+C77*$B$4-SUM($F$2:F77))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IF(SUM($D$2:D77)&gt;$B$4,"",D77+_xll.RiskExpon(1/$B$3))</f>
        <v/>
      </c>
      <c r="E78" t="str">
        <f t="shared" ca="1" si="1"/>
        <v/>
      </c>
      <c r="F78" t="str">
        <f ca="1">IF(E78="","",_xll.RiskWeibull($B$1,$B$2))</f>
        <v/>
      </c>
      <c r="G78" t="str">
        <f ca="1">IF(F78="","",$B$5+C78*$B$4-SUM($F$2:F78))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IF(SUM($D$2:D78)&gt;$B$4,"",D78+_xll.RiskExpon(1/$B$3))</f>
        <v/>
      </c>
      <c r="E79" t="str">
        <f t="shared" ca="1" si="1"/>
        <v/>
      </c>
      <c r="F79" t="str">
        <f ca="1">IF(E79="","",_xll.RiskWeibull($B$1,$B$2))</f>
        <v/>
      </c>
      <c r="G79" t="str">
        <f ca="1">IF(F79="","",$B$5+C79*$B$4-SUM($F$2:F79))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IF(SUM($D$2:D79)&gt;$B$4,"",D79+_xll.RiskExpon(1/$B$3))</f>
        <v/>
      </c>
      <c r="E80" t="str">
        <f t="shared" ca="1" si="1"/>
        <v/>
      </c>
      <c r="F80" t="str">
        <f ca="1">IF(E80="","",_xll.RiskWeibull($B$1,$B$2))</f>
        <v/>
      </c>
      <c r="G80" t="str">
        <f ca="1">IF(F80="","",$B$5+C80*$B$4-SUM($F$2:F80))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IF(SUM($D$2:D80)&gt;$B$4,"",D80+_xll.RiskExpon(1/$B$3))</f>
        <v/>
      </c>
      <c r="E81" t="str">
        <f t="shared" ca="1" si="1"/>
        <v/>
      </c>
      <c r="F81" t="str">
        <f ca="1">IF(E81="","",_xll.RiskWeibull($B$1,$B$2))</f>
        <v/>
      </c>
      <c r="G81" t="str">
        <f ca="1">IF(F81="","",$B$5+C81*$B$4-SUM($F$2:F81))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IF(SUM($D$2:D81)&gt;$B$4,"",D81+_xll.RiskExpon(1/$B$3))</f>
        <v/>
      </c>
      <c r="E82" t="str">
        <f t="shared" ca="1" si="1"/>
        <v/>
      </c>
      <c r="F82" t="str">
        <f ca="1">IF(E82="","",_xll.RiskWeibull($B$1,$B$2))</f>
        <v/>
      </c>
      <c r="G82" t="str">
        <f ca="1">IF(F82="","",$B$5+C82*$B$4-SUM($F$2:F82))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IF(SUM($D$2:D82)&gt;$B$4,"",D82+_xll.RiskExpon(1/$B$3))</f>
        <v/>
      </c>
      <c r="E83" t="str">
        <f t="shared" ca="1" si="1"/>
        <v/>
      </c>
      <c r="F83" t="str">
        <f ca="1">IF(E83="","",_xll.RiskWeibull($B$1,$B$2))</f>
        <v/>
      </c>
      <c r="G83" t="str">
        <f ca="1">IF(F83="","",$B$5+C83*$B$4-SUM($F$2:F83))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IF(SUM($D$2:D83)&gt;$B$4,"",D83+_xll.RiskExpon(1/$B$3))</f>
        <v/>
      </c>
      <c r="E84" t="str">
        <f t="shared" ca="1" si="1"/>
        <v/>
      </c>
      <c r="F84" t="str">
        <f ca="1">IF(E84="","",_xll.RiskWeibull($B$1,$B$2))</f>
        <v/>
      </c>
      <c r="G84" t="str">
        <f ca="1">IF(F84="","",$B$5+C84*$B$4-SUM($F$2:F84))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IF(SUM($D$2:D84)&gt;$B$4,"",D84+_xll.RiskExpon(1/$B$3))</f>
        <v/>
      </c>
      <c r="E85" t="str">
        <f t="shared" ca="1" si="1"/>
        <v/>
      </c>
      <c r="F85" t="str">
        <f ca="1">IF(E85="","",_xll.RiskWeibull($B$1,$B$2))</f>
        <v/>
      </c>
      <c r="G85" t="str">
        <f ca="1">IF(F85="","",$B$5+C85*$B$4-SUM($F$2:F85))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IF(SUM($D$2:D85)&gt;$B$4,"",D85+_xll.RiskExpon(1/$B$3))</f>
        <v/>
      </c>
      <c r="E86" t="str">
        <f t="shared" ca="1" si="1"/>
        <v/>
      </c>
      <c r="F86" t="str">
        <f ca="1">IF(E86="","",_xll.RiskWeibull($B$1,$B$2))</f>
        <v/>
      </c>
      <c r="G86" t="str">
        <f ca="1">IF(F86="","",$B$5+C86*$B$4-SUM($F$2:F86))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IF(SUM($D$2:D86)&gt;$B$4,"",D86+_xll.RiskExpon(1/$B$3))</f>
        <v/>
      </c>
      <c r="E87" t="str">
        <f t="shared" ca="1" si="1"/>
        <v/>
      </c>
      <c r="F87" t="str">
        <f ca="1">IF(E87="","",_xll.RiskWeibull($B$1,$B$2))</f>
        <v/>
      </c>
      <c r="G87" t="str">
        <f ca="1">IF(F87="","",$B$5+C87*$B$4-SUM($F$2:F87))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IF(SUM($D$2:D87)&gt;$B$4,"",D87+_xll.RiskExpon(1/$B$3))</f>
        <v/>
      </c>
      <c r="E88" t="str">
        <f t="shared" ca="1" si="1"/>
        <v/>
      </c>
      <c r="F88" t="str">
        <f ca="1">IF(E88="","",_xll.RiskWeibull($B$1,$B$2))</f>
        <v/>
      </c>
      <c r="G88" t="str">
        <f ca="1">IF(F88="","",$B$5+C88*$B$4-SUM($F$2:F88))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IF(SUM($D$2:D88)&gt;$B$4,"",D88+_xll.RiskExpon(1/$B$3))</f>
        <v/>
      </c>
      <c r="E89" t="str">
        <f t="shared" ca="1" si="1"/>
        <v/>
      </c>
      <c r="F89" t="str">
        <f ca="1">IF(E89="","",_xll.RiskWeibull($B$1,$B$2))</f>
        <v/>
      </c>
      <c r="G89" t="str">
        <f ca="1">IF(F89="","",$B$5+C89*$B$4-SUM($F$2:F89))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IF(SUM($D$2:D89)&gt;$B$4,"",D89+_xll.RiskExpon(1/$B$3))</f>
        <v/>
      </c>
      <c r="E90" t="str">
        <f t="shared" ca="1" si="1"/>
        <v/>
      </c>
      <c r="F90" t="str">
        <f ca="1">IF(E90="","",_xll.RiskWeibull($B$1,$B$2))</f>
        <v/>
      </c>
      <c r="G90" t="str">
        <f ca="1">IF(F90="","",$B$5+C90*$B$4-SUM($F$2:F90))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IF(SUM($D$2:D90)&gt;$B$4,"",D90+_xll.RiskExpon(1/$B$3))</f>
        <v/>
      </c>
      <c r="E91" t="str">
        <f t="shared" ca="1" si="1"/>
        <v/>
      </c>
      <c r="F91" t="str">
        <f ca="1">IF(E91="","",_xll.RiskWeibull($B$1,$B$2))</f>
        <v/>
      </c>
      <c r="G91" t="str">
        <f ca="1">IF(F91="","",$B$5+C91*$B$4-SUM($F$2:F91))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IF(SUM($D$2:D91)&gt;$B$4,"",D91+_xll.RiskExpon(1/$B$3))</f>
        <v/>
      </c>
      <c r="E92" t="str">
        <f t="shared" ca="1" si="1"/>
        <v/>
      </c>
      <c r="F92" t="str">
        <f ca="1">IF(E92="","",_xll.RiskWeibull($B$1,$B$2))</f>
        <v/>
      </c>
      <c r="G92" t="str">
        <f ca="1">IF(F92="","",$B$5+C92*$B$4-SUM($F$2:F92))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IF(SUM($D$2:D92)&gt;$B$4,"",D92+_xll.RiskExpon(1/$B$3))</f>
        <v/>
      </c>
      <c r="E93" t="str">
        <f t="shared" ca="1" si="1"/>
        <v/>
      </c>
      <c r="F93" t="str">
        <f ca="1">IF(E93="","",_xll.RiskWeibull($B$1,$B$2))</f>
        <v/>
      </c>
      <c r="G93" t="str">
        <f ca="1">IF(F93="","",$B$5+C93*$B$4-SUM($F$2:F93))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IF(SUM($D$2:D93)&gt;$B$4,"",D93+_xll.RiskExpon(1/$B$3))</f>
        <v/>
      </c>
      <c r="E94" t="str">
        <f t="shared" ca="1" si="1"/>
        <v/>
      </c>
      <c r="F94" t="str">
        <f ca="1">IF(E94="","",_xll.RiskWeibull($B$1,$B$2))</f>
        <v/>
      </c>
      <c r="G94" t="str">
        <f ca="1">IF(F94="","",$B$5+C94*$B$4-SUM($F$2:F94))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IF(SUM($D$2:D94)&gt;$B$4,"",D94+_xll.RiskExpon(1/$B$3))</f>
        <v/>
      </c>
      <c r="E95" t="str">
        <f t="shared" ca="1" si="1"/>
        <v/>
      </c>
      <c r="F95" t="str">
        <f ca="1">IF(E95="","",_xll.RiskWeibull($B$1,$B$2))</f>
        <v/>
      </c>
      <c r="G95" t="str">
        <f ca="1">IF(F95="","",$B$5+C95*$B$4-SUM($F$2:F95))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IF(SUM($D$2:D95)&gt;$B$4,"",D95+_xll.RiskExpon(1/$B$3))</f>
        <v/>
      </c>
      <c r="E96" t="str">
        <f t="shared" ca="1" si="1"/>
        <v/>
      </c>
      <c r="F96" t="str">
        <f ca="1">IF(E96="","",_xll.RiskWeibull($B$1,$B$2))</f>
        <v/>
      </c>
      <c r="G96" t="str">
        <f ca="1">IF(F96="","",$B$5+C96*$B$4-SUM($F$2:F96))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IF(SUM($D$2:D96)&gt;$B$4,"",D96+_xll.RiskExpon(1/$B$3))</f>
        <v/>
      </c>
      <c r="E97" t="str">
        <f t="shared" ca="1" si="1"/>
        <v/>
      </c>
      <c r="F97" t="str">
        <f ca="1">IF(E97="","",_xll.RiskWeibull($B$1,$B$2))</f>
        <v/>
      </c>
      <c r="G97" t="str">
        <f ca="1">IF(F97="","",$B$5+C97*$B$4-SUM($F$2:F97))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IF(SUM($D$2:D97)&gt;$B$4,"",D97+_xll.RiskExpon(1/$B$3))</f>
        <v/>
      </c>
      <c r="E98" t="str">
        <f t="shared" ca="1" si="1"/>
        <v/>
      </c>
      <c r="F98" t="str">
        <f ca="1">IF(E98="","",_xll.RiskWeibull($B$1,$B$2))</f>
        <v/>
      </c>
      <c r="G98" t="str">
        <f ca="1">IF(F98="","",$B$5+C98*$B$4-SUM($F$2:F98))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IF(SUM($D$2:D98)&gt;$B$4,"",D98+_xll.RiskExpon(1/$B$3))</f>
        <v/>
      </c>
      <c r="E99" t="str">
        <f t="shared" ca="1" si="1"/>
        <v/>
      </c>
      <c r="F99" t="str">
        <f ca="1">IF(E99="","",_xll.RiskWeibull($B$1,$B$2))</f>
        <v/>
      </c>
      <c r="G99" t="str">
        <f ca="1">IF(F99="","",$B$5+C99*$B$4-SUM($F$2:F99))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IF(SUM($D$2:D99)&gt;$B$4,"",D99+_xll.RiskExpon(1/$B$3))</f>
        <v/>
      </c>
      <c r="E100" t="str">
        <f t="shared" ca="1" si="1"/>
        <v/>
      </c>
      <c r="F100" t="str">
        <f ca="1">IF(E100="","",_xll.RiskWeibull($B$1,$B$2))</f>
        <v/>
      </c>
      <c r="G100" t="str">
        <f ca="1">IF(F100="","",$B$5+C100*$B$4-SUM($F$2:F100))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IF(SUM($D$2:D100)&gt;$B$4,"",D100+_xll.RiskExpon(1/$B$3))</f>
        <v/>
      </c>
      <c r="E101" t="str">
        <f t="shared" ca="1" si="1"/>
        <v/>
      </c>
      <c r="F101" t="str">
        <f ca="1">IF(E101="","",_xll.RiskWeibull($B$1,$B$2))</f>
        <v/>
      </c>
      <c r="G101" t="str">
        <f ca="1">IF(F101="","",$B$5+C101*$B$4-SUM($F$2:F101))</f>
        <v/>
      </c>
    </row>
    <row r="102" spans="3:7" x14ac:dyDescent="0.25">
      <c r="D102" t="str">
        <f ca="1">IF(SUM($D$2:D101)&gt;$B$4,"",D101+_xll.RiskExpon(1/$B$3))</f>
        <v/>
      </c>
      <c r="E102" t="str">
        <f t="shared" ca="1" si="1"/>
        <v/>
      </c>
      <c r="F102" t="str">
        <f ca="1">IF(E102="","",_xll.RiskWeibull($B$1,$B$2))</f>
        <v/>
      </c>
      <c r="G102" t="str">
        <f ca="1">IF(F102="","",$B$5+C102*$B$4-SUM($F$2:F102))</f>
        <v/>
      </c>
    </row>
    <row r="103" spans="3:7" x14ac:dyDescent="0.25">
      <c r="D103" t="str">
        <f ca="1">IF(SUM($D$2:D102)&gt;$B$4,"",D102+_xll.RiskExpon(1/$B$3))</f>
        <v/>
      </c>
      <c r="E103" t="str">
        <f t="shared" ca="1" si="1"/>
        <v/>
      </c>
      <c r="F103" t="str">
        <f ca="1">IF(E103="","",_xll.RiskWeibull($B$1,$B$2))</f>
        <v/>
      </c>
      <c r="G103" t="str">
        <f ca="1">IF(F103="","",$B$5+C103*$B$4-SUM($F$2:F103))</f>
        <v/>
      </c>
    </row>
    <row r="104" spans="3:7" x14ac:dyDescent="0.25">
      <c r="D104" t="str">
        <f ca="1">IF(SUM($D$2:D103)&gt;$B$4,"",D103+_xll.RiskExpon(1/$B$3))</f>
        <v/>
      </c>
      <c r="E104" t="str">
        <f t="shared" ca="1" si="1"/>
        <v/>
      </c>
      <c r="F104" t="str">
        <f ca="1">IF(E104="","",_xll.RiskWeibull($B$1,$B$2))</f>
        <v/>
      </c>
      <c r="G104" t="str">
        <f ca="1">IF(F104="","",$B$5+C104*$B$4-SUM($F$2:F104))</f>
        <v/>
      </c>
    </row>
    <row r="105" spans="3:7" x14ac:dyDescent="0.25">
      <c r="D105" t="str">
        <f ca="1">IF(SUM($D$2:D104)&gt;$B$4,"",D104+_xll.RiskExpon(1/$B$3))</f>
        <v/>
      </c>
      <c r="E105" t="str">
        <f t="shared" ca="1" si="1"/>
        <v/>
      </c>
      <c r="F105" t="str">
        <f ca="1">IF(E105="","",_xll.RiskWeibull($B$1,$B$2))</f>
        <v/>
      </c>
      <c r="G105" t="str">
        <f ca="1">IF(F105="","",$B$5+C105*$B$4-SUM($F$2:F105))</f>
        <v/>
      </c>
    </row>
    <row r="106" spans="3:7" x14ac:dyDescent="0.25">
      <c r="D106" t="str">
        <f ca="1">IF(SUM($D$2:D105)&gt;$B$4,"",D105+_xll.RiskExpon(1/$B$3))</f>
        <v/>
      </c>
      <c r="E106" t="str">
        <f t="shared" ca="1" si="1"/>
        <v/>
      </c>
      <c r="F106" t="str">
        <f ca="1">IF(E106="","",_xll.RiskWeibull($B$1,$B$2))</f>
        <v/>
      </c>
      <c r="G106" t="str">
        <f ca="1">IF(F106="","",$B$5+C106*$B$4-SUM($F$2:F106))</f>
        <v/>
      </c>
    </row>
    <row r="107" spans="3:7" x14ac:dyDescent="0.25">
      <c r="D107" t="str">
        <f ca="1">IF(SUM($D$2:D106)&gt;$B$4,"",D106+_xll.RiskExpon(1/$B$3))</f>
        <v/>
      </c>
      <c r="E107" t="str">
        <f t="shared" ca="1" si="1"/>
        <v/>
      </c>
      <c r="F107" t="str">
        <f ca="1">IF(E107="","",_xll.RiskWeibull($B$1,$B$2))</f>
        <v/>
      </c>
      <c r="G107" t="str">
        <f ca="1">IF(F107="","",$B$5+C107*$B$4-SUM($F$2:F107))</f>
        <v/>
      </c>
    </row>
    <row r="108" spans="3:7" x14ac:dyDescent="0.25">
      <c r="D108" t="str">
        <f ca="1">IF(SUM($D$2:D107)&gt;$B$4,"",D107+_xll.RiskExpon(1/$B$3))</f>
        <v/>
      </c>
      <c r="E108" t="str">
        <f t="shared" ca="1" si="1"/>
        <v/>
      </c>
      <c r="F108" t="str">
        <f ca="1">IF(E108="","",_xll.RiskWeibull($B$1,$B$2))</f>
        <v/>
      </c>
      <c r="G108" t="str">
        <f ca="1">IF(F108="","",$B$5+C108*$B$4-SUM($F$2:F108))</f>
        <v/>
      </c>
    </row>
    <row r="109" spans="3:7" x14ac:dyDescent="0.25">
      <c r="D109" t="str">
        <f ca="1">IF(SUM($D$2:D108)&gt;$B$4,"",D108+_xll.RiskExpon(1/$B$3))</f>
        <v/>
      </c>
      <c r="E109" t="str">
        <f t="shared" ca="1" si="1"/>
        <v/>
      </c>
      <c r="F109" t="str">
        <f ca="1">IF(E109="","",_xll.RiskWeibull($B$1,$B$2))</f>
        <v/>
      </c>
      <c r="G109" t="str">
        <f ca="1">IF(F109="","",$B$5+C109*$B$4-SUM($F$2:F109))</f>
        <v/>
      </c>
    </row>
    <row r="110" spans="3:7" x14ac:dyDescent="0.25">
      <c r="D110" t="str">
        <f ca="1">IF(SUM($D$2:D109)&gt;$B$4,"",D109+_xll.RiskExpon(1/$B$3))</f>
        <v/>
      </c>
      <c r="E110" t="str">
        <f t="shared" ca="1" si="1"/>
        <v/>
      </c>
      <c r="F110" t="str">
        <f ca="1">IF(E110="","",_xll.RiskWeibull($B$1,$B$2))</f>
        <v/>
      </c>
      <c r="G110" t="str">
        <f ca="1">IF(F110="","",$B$5+C110*$B$4-SUM($F$2:F110))</f>
        <v/>
      </c>
    </row>
    <row r="111" spans="3:7" x14ac:dyDescent="0.25">
      <c r="D111" t="str">
        <f ca="1">IF(SUM($D$2:D110)&gt;$B$4,"",D110+_xll.RiskExpon(1/$B$3))</f>
        <v/>
      </c>
      <c r="E111" t="str">
        <f t="shared" ca="1" si="1"/>
        <v/>
      </c>
      <c r="F111" t="str">
        <f ca="1">IF(E111="","",_xll.RiskWeibull($B$1,$B$2))</f>
        <v/>
      </c>
      <c r="G111" t="str">
        <f ca="1">IF(F111="","",$B$5+C111*$B$4-SUM($F$2:F111))</f>
        <v/>
      </c>
    </row>
    <row r="112" spans="3:7" x14ac:dyDescent="0.25">
      <c r="D112" t="str">
        <f ca="1">IF(SUM($D$2:D111)&gt;$B$4,"",D111+_xll.RiskExpon(1/$B$3))</f>
        <v/>
      </c>
      <c r="E112" t="str">
        <f t="shared" ca="1" si="1"/>
        <v/>
      </c>
      <c r="F112" t="str">
        <f ca="1">IF(E112="","",_xll.RiskWeibull($B$1,$B$2))</f>
        <v/>
      </c>
      <c r="G112" t="str">
        <f ca="1">IF(F112="","",$B$5+C112*$B$4-SUM($F$2:F112))</f>
        <v/>
      </c>
    </row>
    <row r="113" spans="4:7" x14ac:dyDescent="0.25">
      <c r="D113" t="str">
        <f ca="1">IF(SUM($D$2:D112)&gt;$B$4,"",D112+_xll.RiskExpon(1/$B$3))</f>
        <v/>
      </c>
      <c r="E113" t="str">
        <f t="shared" ca="1" si="1"/>
        <v/>
      </c>
      <c r="F113" t="str">
        <f ca="1">IF(E113="","",_xll.RiskWeibull($B$1,$B$2))</f>
        <v/>
      </c>
      <c r="G113" t="str">
        <f ca="1">IF(F113="","",$B$5+C113*$B$4-SUM($F$2:F113))</f>
        <v/>
      </c>
    </row>
    <row r="114" spans="4:7" x14ac:dyDescent="0.25">
      <c r="D114" t="str">
        <f ca="1">IF(SUM($D$2:D113)&gt;$B$4,"",D113+_xll.RiskExpon(1/$B$3))</f>
        <v/>
      </c>
      <c r="E114" t="str">
        <f t="shared" ca="1" si="1"/>
        <v/>
      </c>
      <c r="F114" t="str">
        <f ca="1">IF(E114="","",_xll.RiskWeibull($B$1,$B$2))</f>
        <v/>
      </c>
      <c r="G114" t="str">
        <f ca="1">IF(F114="","",$B$5+C114*$B$4-SUM($F$2:F114))</f>
        <v/>
      </c>
    </row>
    <row r="115" spans="4:7" x14ac:dyDescent="0.25">
      <c r="D115" t="str">
        <f ca="1">IF(SUM($D$2:D114)&gt;$B$4,"",D114+_xll.RiskExpon(1/$B$3))</f>
        <v/>
      </c>
      <c r="E115" t="str">
        <f t="shared" ca="1" si="1"/>
        <v/>
      </c>
      <c r="F115" t="str">
        <f ca="1">IF(E115="","",_xll.RiskWeibull($B$1,$B$2))</f>
        <v/>
      </c>
      <c r="G115" t="str">
        <f ca="1">IF(F115="","",$B$5+C115*$B$4-SUM($F$2:F115))</f>
        <v/>
      </c>
    </row>
    <row r="116" spans="4:7" x14ac:dyDescent="0.25">
      <c r="D116" t="str">
        <f ca="1">IF(SUM($D$2:D115)&gt;$B$4,"",D115+_xll.RiskExpon(1/$B$3))</f>
        <v/>
      </c>
      <c r="E116" t="str">
        <f t="shared" ca="1" si="1"/>
        <v/>
      </c>
      <c r="F116" t="str">
        <f ca="1">IF(E116="","",_xll.RiskWeibull($B$1,$B$2))</f>
        <v/>
      </c>
      <c r="G116" t="str">
        <f ca="1">IF(F116="","",$B$5+C116*$B$4-SUM($F$2:F116))</f>
        <v/>
      </c>
    </row>
    <row r="117" spans="4:7" x14ac:dyDescent="0.25">
      <c r="D117" t="str">
        <f ca="1">IF(SUM($D$2:D116)&gt;$B$4,"",D116+_xll.RiskExpon(1/$B$3))</f>
        <v/>
      </c>
      <c r="E117" t="str">
        <f t="shared" ca="1" si="1"/>
        <v/>
      </c>
      <c r="F117" t="str">
        <f ca="1">IF(E117="","",_xll.RiskWeibull($B$1,$B$2))</f>
        <v/>
      </c>
      <c r="G117" t="str">
        <f ca="1">IF(F117="","",$B$5+C117*$B$4-SUM($F$2:F117))</f>
        <v/>
      </c>
    </row>
    <row r="118" spans="4:7" x14ac:dyDescent="0.25">
      <c r="D118" t="str">
        <f ca="1">IF(SUM($D$2:D117)&gt;$B$4,"",D117+_xll.RiskExpon(1/$B$3))</f>
        <v/>
      </c>
      <c r="E118" t="str">
        <f t="shared" ca="1" si="1"/>
        <v/>
      </c>
      <c r="F118" t="str">
        <f ca="1">IF(E118="","",_xll.RiskWeibull($B$1,$B$2))</f>
        <v/>
      </c>
      <c r="G118" t="str">
        <f ca="1">IF(F118="","",$B$5+C118*$B$4-SUM($F$2:F118))</f>
        <v/>
      </c>
    </row>
    <row r="119" spans="4:7" x14ac:dyDescent="0.25">
      <c r="D119" t="str">
        <f ca="1">IF(SUM($D$2:D118)&gt;$B$4,"",D118+_xll.RiskExpon(1/$B$3))</f>
        <v/>
      </c>
      <c r="E119" t="str">
        <f t="shared" ca="1" si="1"/>
        <v/>
      </c>
      <c r="F119" t="str">
        <f ca="1">IF(E119="","",_xll.RiskWeibull($B$1,$B$2))</f>
        <v/>
      </c>
      <c r="G119" t="str">
        <f ca="1">IF(F119="","",$B$5+C119*$B$4-SUM($F$2:F119))</f>
        <v/>
      </c>
    </row>
    <row r="120" spans="4:7" x14ac:dyDescent="0.25">
      <c r="D120" t="str">
        <f ca="1">IF(SUM($D$2:D119)&gt;$B$4,"",D119+_xll.RiskExpon(1/$B$3))</f>
        <v/>
      </c>
      <c r="E120" t="str">
        <f t="shared" ca="1" si="1"/>
        <v/>
      </c>
      <c r="F120" t="str">
        <f ca="1">IF(E120="","",_xll.RiskWeibull($B$1,$B$2))</f>
        <v/>
      </c>
      <c r="G120" t="str">
        <f ca="1">IF(F120="","",$B$5+C120*$B$4-SUM($F$2:F120))</f>
        <v/>
      </c>
    </row>
    <row r="121" spans="4:7" x14ac:dyDescent="0.25">
      <c r="D121" t="str">
        <f ca="1">IF(SUM($D$2:D120)&gt;$B$4,"",D120+_xll.RiskExpon(1/$B$3))</f>
        <v/>
      </c>
      <c r="E121" t="str">
        <f t="shared" ca="1" si="1"/>
        <v/>
      </c>
      <c r="F121" t="str">
        <f ca="1">IF(E121="","",_xll.RiskWeibull($B$1,$B$2))</f>
        <v/>
      </c>
      <c r="G121" t="str">
        <f ca="1">IF(F121="","",$B$5+C121*$B$4-SUM($F$2:F121))</f>
        <v/>
      </c>
    </row>
    <row r="122" spans="4:7" x14ac:dyDescent="0.25">
      <c r="D122" t="str">
        <f ca="1">IF(SUM($D$2:D121)&gt;$B$4,"",D121+_xll.RiskExpon(1/$B$3))</f>
        <v/>
      </c>
      <c r="E122" t="str">
        <f t="shared" ca="1" si="1"/>
        <v/>
      </c>
      <c r="F122" t="str">
        <f ca="1">IF(E122="","",_xll.RiskWeibull($B$1,$B$2))</f>
        <v/>
      </c>
      <c r="G122" t="str">
        <f ca="1">IF(F122="","",$B$5+C122*$B$4-SUM($F$2:F122))</f>
        <v/>
      </c>
    </row>
    <row r="123" spans="4:7" x14ac:dyDescent="0.25">
      <c r="D123" t="str">
        <f ca="1">IF(SUM($D$2:D122)&gt;$B$4,"",D122+_xll.RiskExpon(1/$B$3))</f>
        <v/>
      </c>
      <c r="E123" t="str">
        <f t="shared" ca="1" si="1"/>
        <v/>
      </c>
      <c r="F123" t="str">
        <f ca="1">IF(E123="","",_xll.RiskWeibull($B$1,$B$2))</f>
        <v/>
      </c>
      <c r="G123" t="str">
        <f ca="1">IF(F123="","",$B$5+C123*$B$4-SUM($F$2:F123))</f>
        <v/>
      </c>
    </row>
    <row r="124" spans="4:7" x14ac:dyDescent="0.25">
      <c r="D124" t="str">
        <f ca="1">IF(SUM($D$2:D123)&gt;$B$4,"",D123+_xll.RiskExpon(1/$B$3))</f>
        <v/>
      </c>
      <c r="E124" t="str">
        <f t="shared" ca="1" si="1"/>
        <v/>
      </c>
      <c r="F124" t="str">
        <f ca="1">IF(E124="","",_xll.RiskWeibull($B$1,$B$2))</f>
        <v/>
      </c>
      <c r="G124" t="str">
        <f ca="1">IF(F124="","",$B$5+C124*$B$4-SUM($F$2:F124))</f>
        <v/>
      </c>
    </row>
    <row r="125" spans="4:7" x14ac:dyDescent="0.25">
      <c r="D125" t="str">
        <f ca="1">IF(SUM($D$2:D124)&gt;$B$4,"",D124+_xll.RiskExpon(1/$B$3))</f>
        <v/>
      </c>
      <c r="E125" t="str">
        <f t="shared" ca="1" si="1"/>
        <v/>
      </c>
      <c r="F125" t="str">
        <f ca="1">IF(E125="","",_xll.RiskWeibull($B$1,$B$2))</f>
        <v/>
      </c>
      <c r="G125" t="str">
        <f ca="1">IF(F125="","",$B$5+C125*$B$4-SUM($F$2:F125))</f>
        <v/>
      </c>
    </row>
    <row r="126" spans="4:7" x14ac:dyDescent="0.25">
      <c r="D126" t="str">
        <f ca="1">IF(SUM($D$2:D125)&gt;$B$4,"",D125+_xll.RiskExpon(1/$B$3))</f>
        <v/>
      </c>
      <c r="E126" t="str">
        <f t="shared" ca="1" si="1"/>
        <v/>
      </c>
      <c r="F126" t="str">
        <f ca="1">IF(E126="","",_xll.RiskWeibull($B$1,$B$2))</f>
        <v/>
      </c>
      <c r="G126" t="str">
        <f ca="1">IF(F126="","",$B$5+C126*$B$4-SUM($F$2:F126))</f>
        <v/>
      </c>
    </row>
    <row r="127" spans="4:7" x14ac:dyDescent="0.25">
      <c r="D127" t="str">
        <f ca="1">IF(SUM($D$2:D126)&gt;$B$4,"",D126+_xll.RiskExpon(1/$B$3))</f>
        <v/>
      </c>
      <c r="E127" t="str">
        <f t="shared" ca="1" si="1"/>
        <v/>
      </c>
      <c r="F127" t="str">
        <f ca="1">IF(E127="","",_xll.RiskWeibull($B$1,$B$2))</f>
        <v/>
      </c>
      <c r="G127" t="str">
        <f ca="1">IF(F127="","",$B$5+C127*$B$4-SUM($F$2:F127))</f>
        <v/>
      </c>
    </row>
    <row r="128" spans="4:7" x14ac:dyDescent="0.25">
      <c r="D128" t="str">
        <f ca="1">IF(SUM($D$2:D127)&gt;$B$4,"",D127+_xll.RiskExpon(1/$B$3))</f>
        <v/>
      </c>
      <c r="E128" t="str">
        <f t="shared" ca="1" si="1"/>
        <v/>
      </c>
      <c r="F128" t="str">
        <f ca="1">IF(E128="","",_xll.RiskWeibull($B$1,$B$2))</f>
        <v/>
      </c>
      <c r="G128" t="str">
        <f ca="1">IF(F128="","",$B$5+C128*$B$4-SUM($F$2:F128))</f>
        <v/>
      </c>
    </row>
    <row r="129" spans="4:7" x14ac:dyDescent="0.25">
      <c r="D129" t="str">
        <f ca="1">IF(SUM($D$2:D128)&gt;$B$4,"",D128+_xll.RiskExpon(1/$B$3))</f>
        <v/>
      </c>
      <c r="E129" t="str">
        <f t="shared" ca="1" si="1"/>
        <v/>
      </c>
      <c r="F129" t="str">
        <f ca="1">IF(E129="","",_xll.RiskWeibull($B$1,$B$2))</f>
        <v/>
      </c>
      <c r="G129" t="str">
        <f ca="1">IF(F129="","",$B$5+C129*$B$4-SUM($F$2:F129))</f>
        <v/>
      </c>
    </row>
    <row r="130" spans="4:7" x14ac:dyDescent="0.25">
      <c r="D130" t="str">
        <f ca="1">IF(SUM($D$2:D129)&gt;$B$4,"",D129+_xll.RiskExpon(1/$B$3))</f>
        <v/>
      </c>
      <c r="E130" t="str">
        <f t="shared" ca="1" si="1"/>
        <v/>
      </c>
      <c r="F130" t="str">
        <f ca="1">IF(E130="","",_xll.RiskWeibull($B$1,$B$2))</f>
        <v/>
      </c>
      <c r="G130" t="str">
        <f ca="1">IF(F130="","",$B$5+C130*$B$4-SUM($F$2:F130))</f>
        <v/>
      </c>
    </row>
    <row r="131" spans="4:7" x14ac:dyDescent="0.25">
      <c r="D131" t="str">
        <f ca="1">IF(SUM($D$2:D130)&gt;$B$4,"",D130+_xll.RiskExpon(1/$B$3))</f>
        <v/>
      </c>
      <c r="E131" t="str">
        <f t="shared" ca="1" si="1"/>
        <v/>
      </c>
      <c r="F131" t="str">
        <f ca="1">IF(E131="","",_xll.RiskWeibull($B$1,$B$2))</f>
        <v/>
      </c>
      <c r="G131" t="str">
        <f ca="1">IF(F131="","",$B$5+C131*$B$4-SUM($F$2:F131))</f>
        <v/>
      </c>
    </row>
    <row r="132" spans="4:7" x14ac:dyDescent="0.25">
      <c r="D132" t="str">
        <f ca="1">IF(SUM($D$2:D131)&gt;$B$4,"",D131+_xll.RiskExpon(1/$B$3))</f>
        <v/>
      </c>
      <c r="E132" t="str">
        <f t="shared" ref="E132:E195" ca="1" si="2">IF(E131&lt;$B$7,E131+1,"")</f>
        <v/>
      </c>
      <c r="F132" t="str">
        <f ca="1">IF(E132="","",_xll.RiskWeibull($B$1,$B$2))</f>
        <v/>
      </c>
      <c r="G132" t="str">
        <f ca="1">IF(F132="","",$B$5+C132*$B$4-SUM($F$2:F132))</f>
        <v/>
      </c>
    </row>
    <row r="133" spans="4:7" x14ac:dyDescent="0.25">
      <c r="D133" t="str">
        <f ca="1">IF(SUM($D$2:D132)&gt;$B$4,"",D132+_xll.RiskExpon(1/$B$3))</f>
        <v/>
      </c>
      <c r="E133" t="str">
        <f t="shared" ca="1" si="2"/>
        <v/>
      </c>
      <c r="F133" t="str">
        <f ca="1">IF(E133="","",_xll.RiskWeibull($B$1,$B$2))</f>
        <v/>
      </c>
      <c r="G133" t="str">
        <f ca="1">IF(F133="","",$B$5+C133*$B$4-SUM($F$2:F133))</f>
        <v/>
      </c>
    </row>
    <row r="134" spans="4:7" x14ac:dyDescent="0.25">
      <c r="D134" t="str">
        <f ca="1">IF(SUM($D$2:D133)&gt;$B$4,"",D133+_xll.RiskExpon(1/$B$3))</f>
        <v/>
      </c>
      <c r="E134" t="str">
        <f t="shared" ca="1" si="2"/>
        <v/>
      </c>
      <c r="F134" t="str">
        <f ca="1">IF(E134="","",_xll.RiskWeibull($B$1,$B$2))</f>
        <v/>
      </c>
      <c r="G134" t="str">
        <f ca="1">IF(F134="","",$B$5+C134*$B$4-SUM($F$2:F134))</f>
        <v/>
      </c>
    </row>
    <row r="135" spans="4:7" x14ac:dyDescent="0.25">
      <c r="D135" t="str">
        <f ca="1">IF(SUM($D$2:D134)&gt;$B$4,"",D134+_xll.RiskExpon(1/$B$3))</f>
        <v/>
      </c>
      <c r="E135" t="str">
        <f t="shared" ca="1" si="2"/>
        <v/>
      </c>
      <c r="F135" t="str">
        <f ca="1">IF(E135="","",_xll.RiskWeibull($B$1,$B$2))</f>
        <v/>
      </c>
      <c r="G135" t="str">
        <f ca="1">IF(F135="","",$B$5+C135*$B$4-SUM($F$2:F135))</f>
        <v/>
      </c>
    </row>
    <row r="136" spans="4:7" x14ac:dyDescent="0.25">
      <c r="D136" t="str">
        <f ca="1">IF(SUM($D$2:D135)&gt;$B$4,"",D135+_xll.RiskExpon(1/$B$3))</f>
        <v/>
      </c>
      <c r="E136" t="str">
        <f t="shared" ca="1" si="2"/>
        <v/>
      </c>
      <c r="F136" t="str">
        <f ca="1">IF(E136="","",_xll.RiskWeibull($B$1,$B$2))</f>
        <v/>
      </c>
      <c r="G136" t="str">
        <f ca="1">IF(F136="","",$B$5+C136*$B$4-SUM($F$2:F136))</f>
        <v/>
      </c>
    </row>
    <row r="137" spans="4:7" x14ac:dyDescent="0.25">
      <c r="D137" t="str">
        <f ca="1">IF(SUM($D$2:D136)&gt;$B$4,"",D136+_xll.RiskExpon(1/$B$3))</f>
        <v/>
      </c>
      <c r="E137" t="str">
        <f t="shared" ca="1" si="2"/>
        <v/>
      </c>
      <c r="F137" t="str">
        <f ca="1">IF(E137="","",_xll.RiskWeibull($B$1,$B$2))</f>
        <v/>
      </c>
      <c r="G137" t="str">
        <f ca="1">IF(F137="","",$B$5+C137*$B$4-SUM($F$2:F137))</f>
        <v/>
      </c>
    </row>
    <row r="138" spans="4:7" x14ac:dyDescent="0.25">
      <c r="D138" t="str">
        <f ca="1">IF(SUM($D$2:D137)&gt;$B$4,"",D137+_xll.RiskExpon(1/$B$3))</f>
        <v/>
      </c>
      <c r="E138" t="str">
        <f t="shared" ca="1" si="2"/>
        <v/>
      </c>
      <c r="F138" t="str">
        <f ca="1">IF(E138="","",_xll.RiskWeibull($B$1,$B$2))</f>
        <v/>
      </c>
      <c r="G138" t="str">
        <f ca="1">IF(F138="","",$B$5+C138*$B$4-SUM($F$2:F138))</f>
        <v/>
      </c>
    </row>
    <row r="139" spans="4:7" x14ac:dyDescent="0.25">
      <c r="D139" t="str">
        <f ca="1">IF(SUM($D$2:D138)&gt;$B$4,"",D138+_xll.RiskExpon(1/$B$3))</f>
        <v/>
      </c>
      <c r="E139" t="str">
        <f t="shared" ca="1" si="2"/>
        <v/>
      </c>
      <c r="F139" t="str">
        <f ca="1">IF(E139="","",_xll.RiskWeibull($B$1,$B$2))</f>
        <v/>
      </c>
      <c r="G139" t="str">
        <f ca="1">IF(F139="","",$B$5+C139*$B$4-SUM($F$2:F139))</f>
        <v/>
      </c>
    </row>
    <row r="140" spans="4:7" x14ac:dyDescent="0.25">
      <c r="D140" t="str">
        <f ca="1">IF(SUM($D$2:D139)&gt;$B$4,"",D139+_xll.RiskExpon(1/$B$3))</f>
        <v/>
      </c>
      <c r="E140" t="str">
        <f t="shared" ca="1" si="2"/>
        <v/>
      </c>
      <c r="F140" t="str">
        <f ca="1">IF(E140="","",_xll.RiskWeibull($B$1,$B$2))</f>
        <v/>
      </c>
      <c r="G140" t="str">
        <f ca="1">IF(F140="","",$B$5+C140*$B$4-SUM($F$2:F140))</f>
        <v/>
      </c>
    </row>
    <row r="141" spans="4:7" x14ac:dyDescent="0.25">
      <c r="D141" t="str">
        <f ca="1">IF(SUM($D$2:D140)&gt;$B$4,"",D140+_xll.RiskExpon(1/$B$3))</f>
        <v/>
      </c>
      <c r="E141" t="str">
        <f t="shared" ca="1" si="2"/>
        <v/>
      </c>
      <c r="F141" t="str">
        <f ca="1">IF(E141="","",_xll.RiskWeibull($B$1,$B$2))</f>
        <v/>
      </c>
      <c r="G141" t="str">
        <f ca="1">IF(F141="","",$B$5+C141*$B$4-SUM($F$2:F141))</f>
        <v/>
      </c>
    </row>
    <row r="142" spans="4:7" x14ac:dyDescent="0.25">
      <c r="D142" t="str">
        <f ca="1">IF(SUM($D$2:D141)&gt;$B$4,"",D141+_xll.RiskExpon(1/$B$3))</f>
        <v/>
      </c>
      <c r="E142" t="str">
        <f t="shared" ca="1" si="2"/>
        <v/>
      </c>
      <c r="F142" t="str">
        <f ca="1">IF(E142="","",_xll.RiskWeibull($B$1,$B$2))</f>
        <v/>
      </c>
      <c r="G142" t="str">
        <f ca="1">IF(F142="","",$B$5+C142*$B$4-SUM($F$2:F142))</f>
        <v/>
      </c>
    </row>
    <row r="143" spans="4:7" x14ac:dyDescent="0.25">
      <c r="D143" t="str">
        <f ca="1">IF(SUM($D$2:D142)&gt;$B$4,"",D142+_xll.RiskExpon(1/$B$3))</f>
        <v/>
      </c>
      <c r="E143" t="str">
        <f t="shared" ca="1" si="2"/>
        <v/>
      </c>
      <c r="F143" t="str">
        <f ca="1">IF(E143="","",_xll.RiskWeibull($B$1,$B$2))</f>
        <v/>
      </c>
      <c r="G143" t="str">
        <f ca="1">IF(F143="","",$B$5+C143*$B$4-SUM($F$2:F143))</f>
        <v/>
      </c>
    </row>
    <row r="144" spans="4:7" x14ac:dyDescent="0.25">
      <c r="D144" t="str">
        <f ca="1">IF(SUM($D$2:D143)&gt;$B$4,"",D143+_xll.RiskExpon(1/$B$3))</f>
        <v/>
      </c>
      <c r="E144" t="str">
        <f t="shared" ca="1" si="2"/>
        <v/>
      </c>
      <c r="F144" t="str">
        <f ca="1">IF(E144="","",_xll.RiskWeibull($B$1,$B$2))</f>
        <v/>
      </c>
      <c r="G144" t="str">
        <f ca="1">IF(F144="","",$B$5+C144*$B$4-SUM($F$2:F144))</f>
        <v/>
      </c>
    </row>
    <row r="145" spans="4:7" x14ac:dyDescent="0.25">
      <c r="D145" t="str">
        <f ca="1">IF(SUM($D$2:D144)&gt;$B$4,"",D144+_xll.RiskExpon(1/$B$3))</f>
        <v/>
      </c>
      <c r="E145" t="str">
        <f t="shared" ca="1" si="2"/>
        <v/>
      </c>
      <c r="F145" t="str">
        <f ca="1">IF(E145="","",_xll.RiskWeibull($B$1,$B$2))</f>
        <v/>
      </c>
      <c r="G145" t="str">
        <f ca="1">IF(F145="","",$B$5+C145*$B$4-SUM($F$2:F145))</f>
        <v/>
      </c>
    </row>
    <row r="146" spans="4:7" x14ac:dyDescent="0.25">
      <c r="D146" t="str">
        <f ca="1">IF(SUM($D$2:D145)&gt;$B$4,"",D145+_xll.RiskExpon(1/$B$3))</f>
        <v/>
      </c>
      <c r="E146" t="str">
        <f t="shared" ca="1" si="2"/>
        <v/>
      </c>
      <c r="F146" t="str">
        <f ca="1">IF(E146="","",_xll.RiskWeibull($B$1,$B$2))</f>
        <v/>
      </c>
      <c r="G146" t="str">
        <f ca="1">IF(F146="","",$B$5+C146*$B$4-SUM($F$2:F146))</f>
        <v/>
      </c>
    </row>
    <row r="147" spans="4:7" x14ac:dyDescent="0.25">
      <c r="D147" t="str">
        <f ca="1">IF(SUM($D$2:D146)&gt;$B$4,"",D146+_xll.RiskExpon(1/$B$3))</f>
        <v/>
      </c>
      <c r="E147" t="str">
        <f t="shared" ca="1" si="2"/>
        <v/>
      </c>
      <c r="F147" t="str">
        <f ca="1">IF(E147="","",_xll.RiskWeibull($B$1,$B$2))</f>
        <v/>
      </c>
      <c r="G147" t="str">
        <f ca="1">IF(F147="","",$B$5+C147*$B$4-SUM($F$2:F147))</f>
        <v/>
      </c>
    </row>
    <row r="148" spans="4:7" x14ac:dyDescent="0.25">
      <c r="D148" t="str">
        <f ca="1">IF(SUM($D$2:D147)&gt;$B$4,"",D147+_xll.RiskExpon(1/$B$3))</f>
        <v/>
      </c>
      <c r="E148" t="str">
        <f t="shared" ca="1" si="2"/>
        <v/>
      </c>
      <c r="F148" t="str">
        <f ca="1">IF(E148="","",_xll.RiskWeibull($B$1,$B$2))</f>
        <v/>
      </c>
      <c r="G148" t="str">
        <f ca="1">IF(F148="","",$B$5+C148*$B$4-SUM($F$2:F148))</f>
        <v/>
      </c>
    </row>
    <row r="149" spans="4:7" x14ac:dyDescent="0.25">
      <c r="D149" t="str">
        <f ca="1">IF(SUM($D$2:D148)&gt;$B$4,"",D148+_xll.RiskExpon(1/$B$3))</f>
        <v/>
      </c>
      <c r="E149" t="str">
        <f t="shared" ca="1" si="2"/>
        <v/>
      </c>
      <c r="F149" t="str">
        <f ca="1">IF(E149="","",_xll.RiskWeibull($B$1,$B$2))</f>
        <v/>
      </c>
      <c r="G149" t="str">
        <f ca="1">IF(F149="","",$B$5+C149*$B$4-SUM($F$2:F149))</f>
        <v/>
      </c>
    </row>
    <row r="150" spans="4:7" x14ac:dyDescent="0.25">
      <c r="D150" t="str">
        <f ca="1">IF(SUM($D$2:D149)&gt;$B$4,"",D149+_xll.RiskExpon(1/$B$3))</f>
        <v/>
      </c>
      <c r="E150" t="str">
        <f t="shared" ca="1" si="2"/>
        <v/>
      </c>
      <c r="F150" t="str">
        <f ca="1">IF(E150="","",_xll.RiskWeibull($B$1,$B$2))</f>
        <v/>
      </c>
      <c r="G150" t="str">
        <f ca="1">IF(F150="","",$B$5+C150*$B$4-SUM($F$2:F150))</f>
        <v/>
      </c>
    </row>
    <row r="151" spans="4:7" x14ac:dyDescent="0.25">
      <c r="D151" t="str">
        <f ca="1">IF(SUM($D$2:D150)&gt;$B$4,"",D150+_xll.RiskExpon(1/$B$3))</f>
        <v/>
      </c>
      <c r="E151" t="str">
        <f t="shared" ca="1" si="2"/>
        <v/>
      </c>
      <c r="F151" t="str">
        <f ca="1">IF(E151="","",_xll.RiskWeibull($B$1,$B$2))</f>
        <v/>
      </c>
      <c r="G151" t="str">
        <f ca="1">IF(F151="","",$B$5+C151*$B$4-SUM($F$2:F151))</f>
        <v/>
      </c>
    </row>
    <row r="152" spans="4:7" x14ac:dyDescent="0.25">
      <c r="D152" t="str">
        <f ca="1">IF(SUM($D$2:D151)&gt;$B$4,"",D151+_xll.RiskExpon(1/$B$3))</f>
        <v/>
      </c>
      <c r="E152" t="str">
        <f t="shared" ca="1" si="2"/>
        <v/>
      </c>
      <c r="F152" t="str">
        <f ca="1">IF(E152="","",_xll.RiskWeibull($B$1,$B$2))</f>
        <v/>
      </c>
      <c r="G152" t="str">
        <f ca="1">IF(F152="","",$B$5+C152*$B$4-SUM($F$2:F152))</f>
        <v/>
      </c>
    </row>
    <row r="153" spans="4:7" x14ac:dyDescent="0.25">
      <c r="D153" t="str">
        <f ca="1">IF(SUM($D$2:D152)&gt;$B$4,"",D152+_xll.RiskExpon(1/$B$3))</f>
        <v/>
      </c>
      <c r="E153" t="str">
        <f t="shared" ca="1" si="2"/>
        <v/>
      </c>
      <c r="F153" t="str">
        <f ca="1">IF(E153="","",_xll.RiskWeibull($B$1,$B$2))</f>
        <v/>
      </c>
      <c r="G153" t="str">
        <f ca="1">IF(F153="","",$B$5+C153*$B$4-SUM($F$2:F153))</f>
        <v/>
      </c>
    </row>
    <row r="154" spans="4:7" x14ac:dyDescent="0.25">
      <c r="D154" t="str">
        <f ca="1">IF(SUM($D$2:D153)&gt;$B$4,"",D153+_xll.RiskExpon(1/$B$3))</f>
        <v/>
      </c>
      <c r="E154" t="str">
        <f t="shared" ca="1" si="2"/>
        <v/>
      </c>
      <c r="F154" t="str">
        <f ca="1">IF(E154="","",_xll.RiskWeibull($B$1,$B$2))</f>
        <v/>
      </c>
      <c r="G154" t="str">
        <f ca="1">IF(F154="","",$B$5+C154*$B$4-SUM($F$2:F154))</f>
        <v/>
      </c>
    </row>
    <row r="155" spans="4:7" x14ac:dyDescent="0.25">
      <c r="D155" t="str">
        <f ca="1">IF(SUM($D$2:D154)&gt;$B$4,"",D154+_xll.RiskExpon(1/$B$3))</f>
        <v/>
      </c>
      <c r="E155" t="str">
        <f t="shared" ca="1" si="2"/>
        <v/>
      </c>
      <c r="F155" t="str">
        <f ca="1">IF(E155="","",_xll.RiskWeibull($B$1,$B$2))</f>
        <v/>
      </c>
      <c r="G155" t="str">
        <f ca="1">IF(F155="","",$B$5+C155*$B$4-SUM($F$2:F155))</f>
        <v/>
      </c>
    </row>
    <row r="156" spans="4:7" x14ac:dyDescent="0.25">
      <c r="D156" t="str">
        <f ca="1">IF(SUM($D$2:D155)&gt;$B$4,"",D155+_xll.RiskExpon(1/$B$3))</f>
        <v/>
      </c>
      <c r="E156" t="str">
        <f t="shared" ca="1" si="2"/>
        <v/>
      </c>
      <c r="F156" t="str">
        <f ca="1">IF(E156="","",_xll.RiskWeibull($B$1,$B$2))</f>
        <v/>
      </c>
      <c r="G156" t="str">
        <f ca="1">IF(F156="","",$B$5+C156*$B$4-SUM($F$2:F156))</f>
        <v/>
      </c>
    </row>
    <row r="157" spans="4:7" x14ac:dyDescent="0.25">
      <c r="D157" t="str">
        <f ca="1">IF(SUM($D$2:D156)&gt;$B$4,"",D156+_xll.RiskExpon(1/$B$3))</f>
        <v/>
      </c>
      <c r="E157" t="str">
        <f t="shared" ca="1" si="2"/>
        <v/>
      </c>
      <c r="F157" t="str">
        <f ca="1">IF(E157="","",_xll.RiskWeibull($B$1,$B$2))</f>
        <v/>
      </c>
      <c r="G157" t="str">
        <f ca="1">IF(F157="","",$B$5+C157*$B$4-SUM($F$2:F157))</f>
        <v/>
      </c>
    </row>
    <row r="158" spans="4:7" x14ac:dyDescent="0.25">
      <c r="D158" t="str">
        <f ca="1">IF(SUM($D$2:D157)&gt;$B$4,"",D157+_xll.RiskExpon(1/$B$3))</f>
        <v/>
      </c>
      <c r="E158" t="str">
        <f t="shared" ca="1" si="2"/>
        <v/>
      </c>
      <c r="F158" t="str">
        <f ca="1">IF(E158="","",_xll.RiskWeibull($B$1,$B$2))</f>
        <v/>
      </c>
      <c r="G158" t="str">
        <f ca="1">IF(F158="","",$B$5+C158*$B$4-SUM($F$2:F158))</f>
        <v/>
      </c>
    </row>
    <row r="159" spans="4:7" x14ac:dyDescent="0.25">
      <c r="D159" t="str">
        <f ca="1">IF(SUM($D$2:D158)&gt;$B$4,"",D158+_xll.RiskExpon(1/$B$3))</f>
        <v/>
      </c>
      <c r="E159" t="str">
        <f t="shared" ca="1" si="2"/>
        <v/>
      </c>
      <c r="F159" t="str">
        <f ca="1">IF(E159="","",_xll.RiskWeibull($B$1,$B$2))</f>
        <v/>
      </c>
      <c r="G159" t="str">
        <f ca="1">IF(F159="","",$B$5+C159*$B$4-SUM($F$2:F159))</f>
        <v/>
      </c>
    </row>
    <row r="160" spans="4:7" x14ac:dyDescent="0.25">
      <c r="D160" t="str">
        <f ca="1">IF(SUM($D$2:D159)&gt;$B$4,"",D159+_xll.RiskExpon(1/$B$3))</f>
        <v/>
      </c>
      <c r="E160" t="str">
        <f t="shared" ca="1" si="2"/>
        <v/>
      </c>
      <c r="F160" t="str">
        <f ca="1">IF(E160="","",_xll.RiskWeibull($B$1,$B$2))</f>
        <v/>
      </c>
      <c r="G160" t="str">
        <f ca="1">IF(F160="","",$B$5+C160*$B$4-SUM($F$2:F160))</f>
        <v/>
      </c>
    </row>
    <row r="161" spans="4:7" x14ac:dyDescent="0.25">
      <c r="D161" t="str">
        <f ca="1">IF(SUM($D$2:D160)&gt;$B$4,"",D160+_xll.RiskExpon(1/$B$3))</f>
        <v/>
      </c>
      <c r="E161" t="str">
        <f t="shared" ca="1" si="2"/>
        <v/>
      </c>
      <c r="F161" t="str">
        <f ca="1">IF(E161="","",_xll.RiskWeibull($B$1,$B$2))</f>
        <v/>
      </c>
      <c r="G161" t="str">
        <f ca="1">IF(F161="","",$B$5+C161*$B$4-SUM($F$2:F161))</f>
        <v/>
      </c>
    </row>
    <row r="162" spans="4:7" x14ac:dyDescent="0.25">
      <c r="D162" t="str">
        <f ca="1">IF(SUM($D$2:D161)&gt;$B$4,"",D161+_xll.RiskExpon(1/$B$3))</f>
        <v/>
      </c>
      <c r="E162" t="str">
        <f t="shared" ca="1" si="2"/>
        <v/>
      </c>
      <c r="F162" t="str">
        <f ca="1">IF(E162="","",_xll.RiskWeibull($B$1,$B$2))</f>
        <v/>
      </c>
      <c r="G162" t="str">
        <f ca="1">IF(F162="","",$B$5+C162*$B$4-SUM($F$2:F162))</f>
        <v/>
      </c>
    </row>
    <row r="163" spans="4:7" x14ac:dyDescent="0.25">
      <c r="D163" t="str">
        <f ca="1">IF(SUM($D$2:D162)&gt;$B$4,"",D162+_xll.RiskExpon(1/$B$3))</f>
        <v/>
      </c>
      <c r="E163" t="str">
        <f t="shared" ca="1" si="2"/>
        <v/>
      </c>
      <c r="F163" t="str">
        <f ca="1">IF(E163="","",_xll.RiskWeibull($B$1,$B$2))</f>
        <v/>
      </c>
      <c r="G163" t="str">
        <f ca="1">IF(F163="","",$B$5+C163*$B$4-SUM($F$2:F163))</f>
        <v/>
      </c>
    </row>
    <row r="164" spans="4:7" x14ac:dyDescent="0.25">
      <c r="D164" t="str">
        <f ca="1">IF(SUM($D$2:D163)&gt;$B$4,"",D163+_xll.RiskExpon(1/$B$3))</f>
        <v/>
      </c>
      <c r="E164" t="str">
        <f t="shared" ca="1" si="2"/>
        <v/>
      </c>
      <c r="F164" t="str">
        <f ca="1">IF(E164="","",_xll.RiskWeibull($B$1,$B$2))</f>
        <v/>
      </c>
      <c r="G164" t="str">
        <f ca="1">IF(F164="","",$B$5+C164*$B$4-SUM($F$2:F164))</f>
        <v/>
      </c>
    </row>
    <row r="165" spans="4:7" x14ac:dyDescent="0.25">
      <c r="D165" t="str">
        <f ca="1">IF(SUM($D$2:D164)&gt;$B$4,"",D164+_xll.RiskExpon(1/$B$3))</f>
        <v/>
      </c>
      <c r="E165" t="str">
        <f t="shared" ca="1" si="2"/>
        <v/>
      </c>
      <c r="F165" t="str">
        <f ca="1">IF(E165="","",_xll.RiskWeibull($B$1,$B$2))</f>
        <v/>
      </c>
      <c r="G165" t="str">
        <f ca="1">IF(F165="","",$B$5+C165*$B$4-SUM($F$2:F165))</f>
        <v/>
      </c>
    </row>
    <row r="166" spans="4:7" x14ac:dyDescent="0.25">
      <c r="D166" t="str">
        <f ca="1">IF(SUM($D$2:D165)&gt;$B$4,"",D165+_xll.RiskExpon(1/$B$3))</f>
        <v/>
      </c>
      <c r="E166" t="str">
        <f t="shared" ca="1" si="2"/>
        <v/>
      </c>
      <c r="F166" t="str">
        <f ca="1">IF(E166="","",_xll.RiskWeibull($B$1,$B$2))</f>
        <v/>
      </c>
      <c r="G166" t="str">
        <f ca="1">IF(F166="","",$B$5+C166*$B$4-SUM($F$2:F166))</f>
        <v/>
      </c>
    </row>
    <row r="167" spans="4:7" x14ac:dyDescent="0.25">
      <c r="D167" t="str">
        <f ca="1">IF(SUM($D$2:D166)&gt;$B$4,"",D166+_xll.RiskExpon(1/$B$3))</f>
        <v/>
      </c>
      <c r="E167" t="str">
        <f t="shared" ca="1" si="2"/>
        <v/>
      </c>
      <c r="F167" t="str">
        <f ca="1">IF(E167="","",_xll.RiskWeibull($B$1,$B$2))</f>
        <v/>
      </c>
      <c r="G167" t="str">
        <f ca="1">IF(F167="","",$B$5+C167*$B$4-SUM($F$2:F167))</f>
        <v/>
      </c>
    </row>
    <row r="168" spans="4:7" x14ac:dyDescent="0.25">
      <c r="D168" t="str">
        <f ca="1">IF(SUM($D$2:D167)&gt;$B$4,"",D167+_xll.RiskExpon(1/$B$3))</f>
        <v/>
      </c>
      <c r="E168" t="str">
        <f t="shared" ca="1" si="2"/>
        <v/>
      </c>
      <c r="F168" t="str">
        <f ca="1">IF(E168="","",_xll.RiskWeibull($B$1,$B$2))</f>
        <v/>
      </c>
      <c r="G168" t="str">
        <f ca="1">IF(F168="","",$B$5+C168*$B$4-SUM($F$2:F168))</f>
        <v/>
      </c>
    </row>
    <row r="169" spans="4:7" x14ac:dyDescent="0.25">
      <c r="D169" t="str">
        <f ca="1">IF(SUM($D$2:D168)&gt;$B$4,"",D168+_xll.RiskExpon(1/$B$3))</f>
        <v/>
      </c>
      <c r="E169" t="str">
        <f t="shared" ca="1" si="2"/>
        <v/>
      </c>
      <c r="F169" t="str">
        <f ca="1">IF(E169="","",_xll.RiskWeibull($B$1,$B$2))</f>
        <v/>
      </c>
      <c r="G169" t="str">
        <f ca="1">IF(F169="","",$B$5+C169*$B$4-SUM($F$2:F169))</f>
        <v/>
      </c>
    </row>
    <row r="170" spans="4:7" x14ac:dyDescent="0.25">
      <c r="D170" t="str">
        <f ca="1">IF(SUM($D$2:D169)&gt;$B$4,"",D169+_xll.RiskExpon(1/$B$3))</f>
        <v/>
      </c>
      <c r="E170" t="str">
        <f t="shared" ca="1" si="2"/>
        <v/>
      </c>
      <c r="F170" t="str">
        <f ca="1">IF(E170="","",_xll.RiskWeibull($B$1,$B$2))</f>
        <v/>
      </c>
      <c r="G170" t="str">
        <f ca="1">IF(F170="","",$B$5+C170*$B$4-SUM($F$2:F170))</f>
        <v/>
      </c>
    </row>
    <row r="171" spans="4:7" x14ac:dyDescent="0.25">
      <c r="D171" t="str">
        <f ca="1">IF(SUM($D$2:D170)&gt;$B$4,"",D170+_xll.RiskExpon(1/$B$3))</f>
        <v/>
      </c>
      <c r="E171" t="str">
        <f t="shared" ca="1" si="2"/>
        <v/>
      </c>
      <c r="F171" t="str">
        <f ca="1">IF(E171="","",_xll.RiskWeibull($B$1,$B$2))</f>
        <v/>
      </c>
      <c r="G171" t="str">
        <f ca="1">IF(F171="","",$B$5+C171*$B$4-SUM($F$2:F171))</f>
        <v/>
      </c>
    </row>
    <row r="172" spans="4:7" x14ac:dyDescent="0.25">
      <c r="D172" t="str">
        <f ca="1">IF(SUM($D$2:D171)&gt;$B$4,"",D171+_xll.RiskExpon(1/$B$3))</f>
        <v/>
      </c>
      <c r="E172" t="str">
        <f t="shared" ca="1" si="2"/>
        <v/>
      </c>
      <c r="F172" t="str">
        <f ca="1">IF(E172="","",_xll.RiskWeibull($B$1,$B$2))</f>
        <v/>
      </c>
      <c r="G172" t="str">
        <f ca="1">IF(F172="","",$B$5+C172*$B$4-SUM($F$2:F172))</f>
        <v/>
      </c>
    </row>
    <row r="173" spans="4:7" x14ac:dyDescent="0.25">
      <c r="D173" t="str">
        <f ca="1">IF(SUM($D$2:D172)&gt;$B$4,"",D172+_xll.RiskExpon(1/$B$3))</f>
        <v/>
      </c>
      <c r="E173" t="str">
        <f t="shared" ca="1" si="2"/>
        <v/>
      </c>
      <c r="F173" t="str">
        <f ca="1">IF(E173="","",_xll.RiskWeibull($B$1,$B$2))</f>
        <v/>
      </c>
      <c r="G173" t="str">
        <f ca="1">IF(F173="","",$B$5+C173*$B$4-SUM($F$2:F173))</f>
        <v/>
      </c>
    </row>
    <row r="174" spans="4:7" x14ac:dyDescent="0.25">
      <c r="D174" t="str">
        <f ca="1">IF(SUM($D$2:D173)&gt;$B$4,"",D173+_xll.RiskExpon(1/$B$3))</f>
        <v/>
      </c>
      <c r="E174" t="str">
        <f t="shared" ca="1" si="2"/>
        <v/>
      </c>
      <c r="F174" t="str">
        <f ca="1">IF(E174="","",_xll.RiskWeibull($B$1,$B$2))</f>
        <v/>
      </c>
      <c r="G174" t="str">
        <f ca="1">IF(F174="","",$B$5+C174*$B$4-SUM($F$2:F174))</f>
        <v/>
      </c>
    </row>
    <row r="175" spans="4:7" x14ac:dyDescent="0.25">
      <c r="D175" t="str">
        <f ca="1">IF(SUM($D$2:D174)&gt;$B$4,"",D174+_xll.RiskExpon(1/$B$3))</f>
        <v/>
      </c>
      <c r="E175" t="str">
        <f t="shared" ca="1" si="2"/>
        <v/>
      </c>
      <c r="F175" t="str">
        <f ca="1">IF(E175="","",_xll.RiskWeibull($B$1,$B$2))</f>
        <v/>
      </c>
      <c r="G175" t="str">
        <f ca="1">IF(F175="","",$B$5+C175*$B$4-SUM($F$2:F175))</f>
        <v/>
      </c>
    </row>
    <row r="176" spans="4:7" x14ac:dyDescent="0.25">
      <c r="D176" t="str">
        <f ca="1">IF(SUM($D$2:D175)&gt;$B$4,"",D175+_xll.RiskExpon(1/$B$3))</f>
        <v/>
      </c>
      <c r="E176" t="str">
        <f t="shared" ca="1" si="2"/>
        <v/>
      </c>
      <c r="F176" t="str">
        <f ca="1">IF(E176="","",_xll.RiskWeibull($B$1,$B$2))</f>
        <v/>
      </c>
      <c r="G176" t="str">
        <f ca="1">IF(F176="","",$B$5+C176*$B$4-SUM($F$2:F176))</f>
        <v/>
      </c>
    </row>
    <row r="177" spans="4:7" x14ac:dyDescent="0.25">
      <c r="D177" t="str">
        <f ca="1">IF(SUM($D$2:D176)&gt;$B$4,"",D176+_xll.RiskExpon(1/$B$3))</f>
        <v/>
      </c>
      <c r="E177" t="str">
        <f t="shared" ca="1" si="2"/>
        <v/>
      </c>
      <c r="F177" t="str">
        <f ca="1">IF(E177="","",_xll.RiskWeibull($B$1,$B$2))</f>
        <v/>
      </c>
      <c r="G177" t="str">
        <f ca="1">IF(F177="","",$B$5+C177*$B$4-SUM($F$2:F177))</f>
        <v/>
      </c>
    </row>
    <row r="178" spans="4:7" x14ac:dyDescent="0.25">
      <c r="D178" t="str">
        <f ca="1">IF(SUM($D$2:D177)&gt;$B$4,"",D177+_xll.RiskExpon(1/$B$3))</f>
        <v/>
      </c>
      <c r="E178" t="str">
        <f t="shared" ca="1" si="2"/>
        <v/>
      </c>
      <c r="F178" t="str">
        <f ca="1">IF(E178="","",_xll.RiskWeibull($B$1,$B$2))</f>
        <v/>
      </c>
      <c r="G178" t="str">
        <f ca="1">IF(F178="","",$B$5+C178*$B$4-SUM($F$2:F178))</f>
        <v/>
      </c>
    </row>
    <row r="179" spans="4:7" x14ac:dyDescent="0.25">
      <c r="D179" t="str">
        <f ca="1">IF(SUM($D$2:D178)&gt;$B$4,"",D178+_xll.RiskExpon(1/$B$3))</f>
        <v/>
      </c>
      <c r="E179" t="str">
        <f t="shared" ca="1" si="2"/>
        <v/>
      </c>
      <c r="F179" t="str">
        <f ca="1">IF(E179="","",_xll.RiskWeibull($B$1,$B$2))</f>
        <v/>
      </c>
      <c r="G179" t="str">
        <f ca="1">IF(F179="","",$B$5+C179*$B$4-SUM($F$2:F179))</f>
        <v/>
      </c>
    </row>
    <row r="180" spans="4:7" x14ac:dyDescent="0.25">
      <c r="D180" t="str">
        <f ca="1">IF(SUM($D$2:D179)&gt;$B$4,"",D179+_xll.RiskExpon(1/$B$3))</f>
        <v/>
      </c>
      <c r="E180" t="str">
        <f t="shared" ca="1" si="2"/>
        <v/>
      </c>
      <c r="F180" t="str">
        <f ca="1">IF(E180="","",_xll.RiskWeibull($B$1,$B$2))</f>
        <v/>
      </c>
      <c r="G180" t="str">
        <f ca="1">IF(F180="","",$B$5+C180*$B$4-SUM($F$2:F180))</f>
        <v/>
      </c>
    </row>
    <row r="181" spans="4:7" x14ac:dyDescent="0.25">
      <c r="D181" t="str">
        <f ca="1">IF(SUM($D$2:D180)&gt;$B$4,"",D180+_xll.RiskExpon(1/$B$3))</f>
        <v/>
      </c>
      <c r="E181" t="str">
        <f t="shared" ca="1" si="2"/>
        <v/>
      </c>
      <c r="F181" t="str">
        <f ca="1">IF(E181="","",_xll.RiskWeibull($B$1,$B$2))</f>
        <v/>
      </c>
      <c r="G181" t="str">
        <f ca="1">IF(F181="","",$B$5+C181*$B$4-SUM($F$2:F181))</f>
        <v/>
      </c>
    </row>
    <row r="182" spans="4:7" x14ac:dyDescent="0.25">
      <c r="D182" t="str">
        <f ca="1">IF(SUM($D$2:D181)&gt;$B$4,"",D181+_xll.RiskExpon(1/$B$3))</f>
        <v/>
      </c>
      <c r="E182" t="str">
        <f t="shared" ca="1" si="2"/>
        <v/>
      </c>
      <c r="F182" t="str">
        <f ca="1">IF(E182="","",_xll.RiskWeibull($B$1,$B$2))</f>
        <v/>
      </c>
      <c r="G182" t="str">
        <f ca="1">IF(F182="","",$B$5+C182*$B$4-SUM($F$2:F182))</f>
        <v/>
      </c>
    </row>
    <row r="183" spans="4:7" x14ac:dyDescent="0.25">
      <c r="D183" t="str">
        <f ca="1">IF(SUM($D$2:D182)&gt;$B$4,"",D182+_xll.RiskExpon(1/$B$3))</f>
        <v/>
      </c>
      <c r="E183" t="str">
        <f t="shared" ca="1" si="2"/>
        <v/>
      </c>
      <c r="F183" t="str">
        <f ca="1">IF(E183="","",_xll.RiskWeibull($B$1,$B$2))</f>
        <v/>
      </c>
      <c r="G183" t="str">
        <f ca="1">IF(F183="","",$B$5+C183*$B$4-SUM($F$2:F183))</f>
        <v/>
      </c>
    </row>
    <row r="184" spans="4:7" x14ac:dyDescent="0.25">
      <c r="D184" t="str">
        <f ca="1">IF(SUM($D$2:D183)&gt;$B$4,"",D183+_xll.RiskExpon(1/$B$3))</f>
        <v/>
      </c>
      <c r="E184" t="str">
        <f t="shared" ca="1" si="2"/>
        <v/>
      </c>
      <c r="F184" t="str">
        <f ca="1">IF(E184="","",_xll.RiskWeibull($B$1,$B$2))</f>
        <v/>
      </c>
      <c r="G184" t="str">
        <f ca="1">IF(F184="","",$B$5+C184*$B$4-SUM($F$2:F184))</f>
        <v/>
      </c>
    </row>
    <row r="185" spans="4:7" x14ac:dyDescent="0.25">
      <c r="D185" t="str">
        <f ca="1">IF(SUM($D$2:D184)&gt;$B$4,"",D184+_xll.RiskExpon(1/$B$3))</f>
        <v/>
      </c>
      <c r="E185" t="str">
        <f t="shared" ca="1" si="2"/>
        <v/>
      </c>
      <c r="F185" t="str">
        <f ca="1">IF(E185="","",_xll.RiskWeibull($B$1,$B$2))</f>
        <v/>
      </c>
      <c r="G185" t="str">
        <f ca="1">IF(F185="","",$B$5+C185*$B$4-SUM($F$2:F185))</f>
        <v/>
      </c>
    </row>
    <row r="186" spans="4:7" x14ac:dyDescent="0.25">
      <c r="D186" t="str">
        <f ca="1">IF(SUM($D$2:D185)&gt;$B$4,"",D185+_xll.RiskExpon(1/$B$3))</f>
        <v/>
      </c>
      <c r="E186" t="str">
        <f t="shared" ca="1" si="2"/>
        <v/>
      </c>
      <c r="F186" t="str">
        <f ca="1">IF(E186="","",_xll.RiskWeibull($B$1,$B$2))</f>
        <v/>
      </c>
      <c r="G186" t="str">
        <f ca="1">IF(F186="","",$B$5+C186*$B$4-SUM($F$2:F186))</f>
        <v/>
      </c>
    </row>
    <row r="187" spans="4:7" x14ac:dyDescent="0.25">
      <c r="D187" t="str">
        <f ca="1">IF(SUM($D$2:D186)&gt;$B$4,"",D186+_xll.RiskExpon(1/$B$3))</f>
        <v/>
      </c>
      <c r="E187" t="str">
        <f t="shared" ca="1" si="2"/>
        <v/>
      </c>
      <c r="F187" t="str">
        <f ca="1">IF(E187="","",_xll.RiskWeibull($B$1,$B$2))</f>
        <v/>
      </c>
      <c r="G187" t="str">
        <f ca="1">IF(F187="","",$B$5+C187*$B$4-SUM($F$2:F187))</f>
        <v/>
      </c>
    </row>
    <row r="188" spans="4:7" x14ac:dyDescent="0.25">
      <c r="D188" t="str">
        <f ca="1">IF(SUM($D$2:D187)&gt;$B$4,"",D187+_xll.RiskExpon(1/$B$3))</f>
        <v/>
      </c>
      <c r="E188" t="str">
        <f t="shared" ca="1" si="2"/>
        <v/>
      </c>
      <c r="F188" t="str">
        <f ca="1">IF(E188="","",_xll.RiskWeibull($B$1,$B$2))</f>
        <v/>
      </c>
      <c r="G188" t="str">
        <f ca="1">IF(F188="","",$B$5+C188*$B$4-SUM($F$2:F188))</f>
        <v/>
      </c>
    </row>
    <row r="189" spans="4:7" x14ac:dyDescent="0.25">
      <c r="D189" t="str">
        <f ca="1">IF(SUM($D$2:D188)&gt;$B$4,"",D188+_xll.RiskExpon(1/$B$3))</f>
        <v/>
      </c>
      <c r="E189" t="str">
        <f t="shared" ca="1" si="2"/>
        <v/>
      </c>
      <c r="F189" t="str">
        <f ca="1">IF(E189="","",_xll.RiskWeibull($B$1,$B$2))</f>
        <v/>
      </c>
      <c r="G189" t="str">
        <f ca="1">IF(F189="","",$B$5+C189*$B$4-SUM($F$2:F189))</f>
        <v/>
      </c>
    </row>
    <row r="190" spans="4:7" x14ac:dyDescent="0.25">
      <c r="D190" t="str">
        <f ca="1">IF(SUM($D$2:D189)&gt;$B$4,"",D189+_xll.RiskExpon(1/$B$3))</f>
        <v/>
      </c>
      <c r="E190" t="str">
        <f t="shared" ca="1" si="2"/>
        <v/>
      </c>
      <c r="F190" t="str">
        <f ca="1">IF(E190="","",_xll.RiskWeibull($B$1,$B$2))</f>
        <v/>
      </c>
      <c r="G190" t="str">
        <f ca="1">IF(F190="","",$B$5+C190*$B$4-SUM($F$2:F190))</f>
        <v/>
      </c>
    </row>
    <row r="191" spans="4:7" x14ac:dyDescent="0.25">
      <c r="D191" t="str">
        <f ca="1">IF(SUM($D$2:D190)&gt;$B$4,"",D190+_xll.RiskExpon(1/$B$3))</f>
        <v/>
      </c>
      <c r="E191" t="str">
        <f t="shared" ca="1" si="2"/>
        <v/>
      </c>
      <c r="F191" t="str">
        <f ca="1">IF(E191="","",_xll.RiskWeibull($B$1,$B$2))</f>
        <v/>
      </c>
      <c r="G191" t="str">
        <f ca="1">IF(F191="","",$B$5+C191*$B$4-SUM($F$2:F191))</f>
        <v/>
      </c>
    </row>
    <row r="192" spans="4:7" x14ac:dyDescent="0.25">
      <c r="D192" t="str">
        <f ca="1">IF(SUM($D$2:D191)&gt;$B$4,"",D191+_xll.RiskExpon(1/$B$3))</f>
        <v/>
      </c>
      <c r="E192" t="str">
        <f t="shared" ca="1" si="2"/>
        <v/>
      </c>
      <c r="F192" t="str">
        <f ca="1">IF(E192="","",_xll.RiskWeibull($B$1,$B$2))</f>
        <v/>
      </c>
      <c r="G192" t="str">
        <f ca="1">IF(F192="","",$B$5+C192*$B$4-SUM($F$2:F192))</f>
        <v/>
      </c>
    </row>
    <row r="193" spans="4:7" x14ac:dyDescent="0.25">
      <c r="D193" t="str">
        <f ca="1">IF(SUM($D$2:D192)&gt;$B$4,"",D192+_xll.RiskExpon(1/$B$3))</f>
        <v/>
      </c>
      <c r="E193" t="str">
        <f t="shared" ca="1" si="2"/>
        <v/>
      </c>
      <c r="F193" t="str">
        <f ca="1">IF(E193="","",_xll.RiskWeibull($B$1,$B$2))</f>
        <v/>
      </c>
      <c r="G193" t="str">
        <f ca="1">IF(F193="","",$B$5+C193*$B$4-SUM($F$2:F193))</f>
        <v/>
      </c>
    </row>
    <row r="194" spans="4:7" x14ac:dyDescent="0.25">
      <c r="D194" t="str">
        <f ca="1">IF(SUM($D$2:D193)&gt;$B$4,"",D193+_xll.RiskExpon(1/$B$3))</f>
        <v/>
      </c>
      <c r="E194" t="str">
        <f t="shared" ca="1" si="2"/>
        <v/>
      </c>
      <c r="F194" t="str">
        <f ca="1">IF(E194="","",_xll.RiskWeibull($B$1,$B$2))</f>
        <v/>
      </c>
      <c r="G194" t="str">
        <f ca="1">IF(F194="","",$B$5+C194*$B$4-SUM($F$2:F194))</f>
        <v/>
      </c>
    </row>
    <row r="195" spans="4:7" x14ac:dyDescent="0.25">
      <c r="D195" t="str">
        <f ca="1">IF(SUM($D$2:D194)&gt;$B$4,"",D194+_xll.RiskExpon(1/$B$3))</f>
        <v/>
      </c>
      <c r="E195" t="str">
        <f t="shared" ca="1" si="2"/>
        <v/>
      </c>
      <c r="F195" t="str">
        <f ca="1">IF(E195="","",_xll.RiskWeibull($B$1,$B$2))</f>
        <v/>
      </c>
      <c r="G195" t="str">
        <f ca="1">IF(F195="","",$B$5+C195*$B$4-SUM($F$2:F195))</f>
        <v/>
      </c>
    </row>
    <row r="196" spans="4:7" x14ac:dyDescent="0.25">
      <c r="D196" t="str">
        <f ca="1">IF(SUM($D$2:D195)&gt;$B$4,"",D195+_xll.RiskExpon(1/$B$3))</f>
        <v/>
      </c>
      <c r="E196" t="str">
        <f t="shared" ref="E196:E259" ca="1" si="3">IF(E195&lt;$B$7,E195+1,"")</f>
        <v/>
      </c>
      <c r="F196" t="str">
        <f ca="1">IF(E196="","",_xll.RiskWeibull($B$1,$B$2))</f>
        <v/>
      </c>
      <c r="G196" t="str">
        <f ca="1">IF(F196="","",$B$5+C196*$B$4-SUM($F$2:F196))</f>
        <v/>
      </c>
    </row>
    <row r="197" spans="4:7" x14ac:dyDescent="0.25">
      <c r="D197" t="str">
        <f ca="1">IF(SUM($D$2:D196)&gt;$B$4,"",D196+_xll.RiskExpon(1/$B$3))</f>
        <v/>
      </c>
      <c r="E197" t="str">
        <f t="shared" ca="1" si="3"/>
        <v/>
      </c>
      <c r="F197" t="str">
        <f ca="1">IF(E197="","",_xll.RiskWeibull($B$1,$B$2))</f>
        <v/>
      </c>
      <c r="G197" t="str">
        <f ca="1">IF(F197="","",$B$5+C197*$B$4-SUM($F$2:F197))</f>
        <v/>
      </c>
    </row>
    <row r="198" spans="4:7" x14ac:dyDescent="0.25">
      <c r="D198" t="str">
        <f ca="1">IF(SUM($D$2:D197)&gt;$B$4,"",D197+_xll.RiskExpon(1/$B$3))</f>
        <v/>
      </c>
      <c r="E198" t="str">
        <f t="shared" ca="1" si="3"/>
        <v/>
      </c>
      <c r="F198" t="str">
        <f ca="1">IF(E198="","",_xll.RiskWeibull($B$1,$B$2))</f>
        <v/>
      </c>
      <c r="G198" t="str">
        <f ca="1">IF(F198="","",$B$5+C198*$B$4-SUM($F$2:F198))</f>
        <v/>
      </c>
    </row>
    <row r="199" spans="4:7" x14ac:dyDescent="0.25">
      <c r="D199" t="str">
        <f ca="1">IF(SUM($D$2:D198)&gt;$B$4,"",D198+_xll.RiskExpon(1/$B$3))</f>
        <v/>
      </c>
      <c r="E199" t="str">
        <f t="shared" ca="1" si="3"/>
        <v/>
      </c>
      <c r="F199" t="str">
        <f ca="1">IF(E199="","",_xll.RiskWeibull($B$1,$B$2))</f>
        <v/>
      </c>
      <c r="G199" t="str">
        <f ca="1">IF(F199="","",$B$5+C199*$B$4-SUM($F$2:F199))</f>
        <v/>
      </c>
    </row>
    <row r="200" spans="4:7" x14ac:dyDescent="0.25">
      <c r="D200" t="str">
        <f ca="1">IF(SUM($D$2:D199)&gt;$B$4,"",D199+_xll.RiskExpon(1/$B$3))</f>
        <v/>
      </c>
      <c r="E200" t="str">
        <f t="shared" ca="1" si="3"/>
        <v/>
      </c>
      <c r="F200" t="str">
        <f ca="1">IF(E200="","",_xll.RiskWeibull($B$1,$B$2))</f>
        <v/>
      </c>
      <c r="G200" t="str">
        <f ca="1">IF(F200="","",$B$5+C200*$B$4-SUM($F$2:F200))</f>
        <v/>
      </c>
    </row>
    <row r="201" spans="4:7" x14ac:dyDescent="0.25">
      <c r="D201" t="str">
        <f ca="1">IF(SUM($D$2:D200)&gt;$B$4,"",D200+_xll.RiskExpon(1/$B$3))</f>
        <v/>
      </c>
      <c r="E201" t="str">
        <f t="shared" ca="1" si="3"/>
        <v/>
      </c>
      <c r="F201" t="str">
        <f ca="1">IF(E201="","",_xll.RiskWeibull($B$1,$B$2))</f>
        <v/>
      </c>
      <c r="G201" t="str">
        <f ca="1">IF(F201="","",$B$5+C201*$B$4-SUM($F$2:F201))</f>
        <v/>
      </c>
    </row>
    <row r="202" spans="4:7" x14ac:dyDescent="0.25">
      <c r="D202" t="str">
        <f ca="1">IF(SUM($D$2:D201)&gt;$B$4,"",D201+_xll.RiskExpon(1/$B$3))</f>
        <v/>
      </c>
      <c r="E202" t="str">
        <f t="shared" ca="1" si="3"/>
        <v/>
      </c>
      <c r="F202" t="str">
        <f ca="1">IF(E202="","",_xll.RiskWeibull($B$1,$B$2))</f>
        <v/>
      </c>
      <c r="G202" t="str">
        <f ca="1">IF(F202="","",$B$5+C202*$B$4-SUM($F$2:F202))</f>
        <v/>
      </c>
    </row>
    <row r="203" spans="4:7" x14ac:dyDescent="0.25">
      <c r="D203" t="str">
        <f ca="1">IF(SUM($D$2:D202)&gt;$B$4,"",D202+_xll.RiskExpon(1/$B$3))</f>
        <v/>
      </c>
      <c r="E203" t="str">
        <f t="shared" ca="1" si="3"/>
        <v/>
      </c>
      <c r="F203" t="str">
        <f ca="1">IF(E203="","",_xll.RiskWeibull($B$1,$B$2))</f>
        <v/>
      </c>
      <c r="G203" t="str">
        <f ca="1">IF(F203="","",$B$5+C203*$B$4-SUM($F$2:F203))</f>
        <v/>
      </c>
    </row>
    <row r="204" spans="4:7" x14ac:dyDescent="0.25">
      <c r="D204" t="str">
        <f ca="1">IF(SUM($D$2:D203)&gt;$B$4,"",D203+_xll.RiskExpon(1/$B$3))</f>
        <v/>
      </c>
      <c r="E204" t="str">
        <f t="shared" ca="1" si="3"/>
        <v/>
      </c>
      <c r="F204" t="str">
        <f ca="1">IF(E204="","",_xll.RiskWeibull($B$1,$B$2))</f>
        <v/>
      </c>
      <c r="G204" t="str">
        <f ca="1">IF(F204="","",$B$5+C204*$B$4-SUM($F$2:F204))</f>
        <v/>
      </c>
    </row>
    <row r="205" spans="4:7" x14ac:dyDescent="0.25">
      <c r="D205" t="str">
        <f ca="1">IF(SUM($D$2:D204)&gt;$B$4,"",D204+_xll.RiskExpon(1/$B$3))</f>
        <v/>
      </c>
      <c r="E205" t="str">
        <f t="shared" ca="1" si="3"/>
        <v/>
      </c>
      <c r="F205" t="str">
        <f ca="1">IF(E205="","",_xll.RiskWeibull($B$1,$B$2))</f>
        <v/>
      </c>
      <c r="G205" t="str">
        <f ca="1">IF(F205="","",$B$5+C205*$B$4-SUM($F$2:F205))</f>
        <v/>
      </c>
    </row>
    <row r="206" spans="4:7" x14ac:dyDescent="0.25">
      <c r="D206" t="str">
        <f ca="1">IF(SUM($D$2:D205)&gt;$B$4,"",D205+_xll.RiskExpon(1/$B$3))</f>
        <v/>
      </c>
      <c r="E206" t="str">
        <f t="shared" ca="1" si="3"/>
        <v/>
      </c>
      <c r="F206" t="str">
        <f ca="1">IF(E206="","",_xll.RiskWeibull($B$1,$B$2))</f>
        <v/>
      </c>
      <c r="G206" t="str">
        <f ca="1">IF(F206="","",$B$5+C206*$B$4-SUM($F$2:F206))</f>
        <v/>
      </c>
    </row>
    <row r="207" spans="4:7" x14ac:dyDescent="0.25">
      <c r="D207" t="str">
        <f ca="1">IF(SUM($D$2:D206)&gt;$B$4,"",D206+_xll.RiskExpon(1/$B$3))</f>
        <v/>
      </c>
      <c r="E207" t="str">
        <f t="shared" ca="1" si="3"/>
        <v/>
      </c>
      <c r="F207" t="str">
        <f ca="1">IF(E207="","",_xll.RiskWeibull($B$1,$B$2))</f>
        <v/>
      </c>
      <c r="G207" t="str">
        <f ca="1">IF(F207="","",$B$5+C207*$B$4-SUM($F$2:F207))</f>
        <v/>
      </c>
    </row>
    <row r="208" spans="4:7" x14ac:dyDescent="0.25">
      <c r="D208" t="str">
        <f ca="1">IF(SUM($D$2:D207)&gt;$B$4,"",D207+_xll.RiskExpon(1/$B$3))</f>
        <v/>
      </c>
      <c r="E208" t="str">
        <f t="shared" ca="1" si="3"/>
        <v/>
      </c>
      <c r="F208" t="str">
        <f ca="1">IF(E208="","",_xll.RiskWeibull($B$1,$B$2))</f>
        <v/>
      </c>
      <c r="G208" t="str">
        <f ca="1">IF(F208="","",$B$5+C208*$B$4-SUM($F$2:F208))</f>
        <v/>
      </c>
    </row>
    <row r="209" spans="4:7" x14ac:dyDescent="0.25">
      <c r="D209" t="str">
        <f ca="1">IF(SUM($D$2:D208)&gt;$B$4,"",D208+_xll.RiskExpon(1/$B$3))</f>
        <v/>
      </c>
      <c r="E209" t="str">
        <f t="shared" ca="1" si="3"/>
        <v/>
      </c>
      <c r="F209" t="str">
        <f ca="1">IF(E209="","",_xll.RiskWeibull($B$1,$B$2))</f>
        <v/>
      </c>
      <c r="G209" t="str">
        <f ca="1">IF(F209="","",$B$5+C209*$B$4-SUM($F$2:F209))</f>
        <v/>
      </c>
    </row>
    <row r="210" spans="4:7" x14ac:dyDescent="0.25">
      <c r="D210" t="str">
        <f ca="1">IF(SUM($D$2:D209)&gt;$B$4,"",D209+_xll.RiskExpon(1/$B$3))</f>
        <v/>
      </c>
      <c r="E210" t="str">
        <f t="shared" ca="1" si="3"/>
        <v/>
      </c>
      <c r="F210" t="str">
        <f ca="1">IF(E210="","",_xll.RiskWeibull($B$1,$B$2))</f>
        <v/>
      </c>
      <c r="G210" t="str">
        <f ca="1">IF(F210="","",$B$5+C210*$B$4-SUM($F$2:F210))</f>
        <v/>
      </c>
    </row>
    <row r="211" spans="4:7" x14ac:dyDescent="0.25">
      <c r="D211" t="str">
        <f ca="1">IF(SUM($D$2:D210)&gt;$B$4,"",D210+_xll.RiskExpon(1/$B$3))</f>
        <v/>
      </c>
      <c r="E211" t="str">
        <f t="shared" ca="1" si="3"/>
        <v/>
      </c>
      <c r="F211" t="str">
        <f ca="1">IF(E211="","",_xll.RiskWeibull($B$1,$B$2))</f>
        <v/>
      </c>
      <c r="G211" t="str">
        <f ca="1">IF(F211="","",$B$5+C211*$B$4-SUM($F$2:F211))</f>
        <v/>
      </c>
    </row>
    <row r="212" spans="4:7" x14ac:dyDescent="0.25">
      <c r="D212" t="str">
        <f ca="1">IF(SUM($D$2:D211)&gt;$B$4,"",D211+_xll.RiskExpon(1/$B$3))</f>
        <v/>
      </c>
      <c r="E212" t="str">
        <f t="shared" ca="1" si="3"/>
        <v/>
      </c>
      <c r="F212" t="str">
        <f ca="1">IF(E212="","",_xll.RiskWeibull($B$1,$B$2))</f>
        <v/>
      </c>
      <c r="G212" t="str">
        <f ca="1">IF(F212="","",$B$5+C212*$B$4-SUM($F$2:F212))</f>
        <v/>
      </c>
    </row>
    <row r="213" spans="4:7" x14ac:dyDescent="0.25">
      <c r="D213" t="str">
        <f ca="1">IF(SUM($D$2:D212)&gt;$B$4,"",D212+_xll.RiskExpon(1/$B$3))</f>
        <v/>
      </c>
      <c r="E213" t="str">
        <f t="shared" ca="1" si="3"/>
        <v/>
      </c>
      <c r="F213" t="str">
        <f ca="1">IF(E213="","",_xll.RiskWeibull($B$1,$B$2))</f>
        <v/>
      </c>
      <c r="G213" t="str">
        <f ca="1">IF(F213="","",$B$5+C213*$B$4-SUM($F$2:F213))</f>
        <v/>
      </c>
    </row>
    <row r="214" spans="4:7" x14ac:dyDescent="0.25">
      <c r="D214" t="str">
        <f ca="1">IF(SUM($D$2:D213)&gt;$B$4,"",D213+_xll.RiskExpon(1/$B$3))</f>
        <v/>
      </c>
      <c r="E214" t="str">
        <f t="shared" ca="1" si="3"/>
        <v/>
      </c>
      <c r="F214" t="str">
        <f ca="1">IF(E214="","",_xll.RiskWeibull($B$1,$B$2))</f>
        <v/>
      </c>
      <c r="G214" t="str">
        <f ca="1">IF(F214="","",$B$5+C214*$B$4-SUM($F$2:F214))</f>
        <v/>
      </c>
    </row>
    <row r="215" spans="4:7" x14ac:dyDescent="0.25">
      <c r="D215" t="str">
        <f ca="1">IF(SUM($D$2:D214)&gt;$B$4,"",D214+_xll.RiskExpon(1/$B$3))</f>
        <v/>
      </c>
      <c r="E215" t="str">
        <f t="shared" ca="1" si="3"/>
        <v/>
      </c>
      <c r="F215" t="str">
        <f ca="1">IF(E215="","",_xll.RiskWeibull($B$1,$B$2))</f>
        <v/>
      </c>
      <c r="G215" t="str">
        <f ca="1">IF(F215="","",$B$5+C215*$B$4-SUM($F$2:F215))</f>
        <v/>
      </c>
    </row>
    <row r="216" spans="4:7" x14ac:dyDescent="0.25">
      <c r="D216" t="str">
        <f ca="1">IF(SUM($D$2:D215)&gt;$B$4,"",D215+_xll.RiskExpon(1/$B$3))</f>
        <v/>
      </c>
      <c r="E216" t="str">
        <f t="shared" ca="1" si="3"/>
        <v/>
      </c>
      <c r="F216" t="str">
        <f ca="1">IF(E216="","",_xll.RiskWeibull($B$1,$B$2))</f>
        <v/>
      </c>
      <c r="G216" t="str">
        <f ca="1">IF(F216="","",$B$5+C216*$B$4-SUM($F$2:F216))</f>
        <v/>
      </c>
    </row>
    <row r="217" spans="4:7" x14ac:dyDescent="0.25">
      <c r="D217" t="str">
        <f ca="1">IF(SUM($D$2:D216)&gt;$B$4,"",D216+_xll.RiskExpon(1/$B$3))</f>
        <v/>
      </c>
      <c r="E217" t="str">
        <f t="shared" ca="1" si="3"/>
        <v/>
      </c>
      <c r="F217" t="str">
        <f ca="1">IF(E217="","",_xll.RiskWeibull($B$1,$B$2))</f>
        <v/>
      </c>
      <c r="G217" t="str">
        <f ca="1">IF(F217="","",$B$5+C217*$B$4-SUM($F$2:F217))</f>
        <v/>
      </c>
    </row>
    <row r="218" spans="4:7" x14ac:dyDescent="0.25">
      <c r="D218" t="str">
        <f ca="1">IF(SUM($D$2:D217)&gt;$B$4,"",D217+_xll.RiskExpon(1/$B$3))</f>
        <v/>
      </c>
      <c r="E218" t="str">
        <f t="shared" ca="1" si="3"/>
        <v/>
      </c>
      <c r="F218" t="str">
        <f ca="1">IF(E218="","",_xll.RiskWeibull($B$1,$B$2))</f>
        <v/>
      </c>
      <c r="G218" t="str">
        <f ca="1">IF(F218="","",$B$5+C218*$B$4-SUM($F$2:F218))</f>
        <v/>
      </c>
    </row>
    <row r="219" spans="4:7" x14ac:dyDescent="0.25">
      <c r="D219" t="str">
        <f ca="1">IF(SUM($D$2:D218)&gt;$B$4,"",D218+_xll.RiskExpon(1/$B$3))</f>
        <v/>
      </c>
      <c r="E219" t="str">
        <f t="shared" ca="1" si="3"/>
        <v/>
      </c>
      <c r="F219" t="str">
        <f ca="1">IF(E219="","",_xll.RiskWeibull($B$1,$B$2))</f>
        <v/>
      </c>
      <c r="G219" t="str">
        <f ca="1">IF(F219="","",$B$5+C219*$B$4-SUM($F$2:F219))</f>
        <v/>
      </c>
    </row>
    <row r="220" spans="4:7" x14ac:dyDescent="0.25">
      <c r="D220" t="str">
        <f ca="1">IF(SUM($D$2:D219)&gt;$B$4,"",D219+_xll.RiskExpon(1/$B$3))</f>
        <v/>
      </c>
      <c r="E220" t="str">
        <f t="shared" ca="1" si="3"/>
        <v/>
      </c>
      <c r="F220" t="str">
        <f ca="1">IF(E220="","",_xll.RiskWeibull($B$1,$B$2))</f>
        <v/>
      </c>
      <c r="G220" t="str">
        <f ca="1">IF(F220="","",$B$5+C220*$B$4-SUM($F$2:F220))</f>
        <v/>
      </c>
    </row>
    <row r="221" spans="4:7" x14ac:dyDescent="0.25">
      <c r="D221" t="str">
        <f ca="1">IF(SUM($D$2:D220)&gt;$B$4,"",D220+_xll.RiskExpon(1/$B$3))</f>
        <v/>
      </c>
      <c r="E221" t="str">
        <f t="shared" ca="1" si="3"/>
        <v/>
      </c>
      <c r="F221" t="str">
        <f ca="1">IF(E221="","",_xll.RiskWeibull($B$1,$B$2))</f>
        <v/>
      </c>
      <c r="G221" t="str">
        <f ca="1">IF(F221="","",$B$5+C221*$B$4-SUM($F$2:F221))</f>
        <v/>
      </c>
    </row>
    <row r="222" spans="4:7" x14ac:dyDescent="0.25">
      <c r="D222" t="str">
        <f ca="1">IF(SUM($D$2:D221)&gt;$B$4,"",D221+_xll.RiskExpon(1/$B$3))</f>
        <v/>
      </c>
      <c r="E222" t="str">
        <f t="shared" ca="1" si="3"/>
        <v/>
      </c>
      <c r="F222" t="str">
        <f ca="1">IF(E222="","",_xll.RiskWeibull($B$1,$B$2))</f>
        <v/>
      </c>
      <c r="G222" t="str">
        <f ca="1">IF(F222="","",$B$5+C222*$B$4-SUM($F$2:F222))</f>
        <v/>
      </c>
    </row>
    <row r="223" spans="4:7" x14ac:dyDescent="0.25">
      <c r="D223" t="str">
        <f ca="1">IF(SUM($D$2:D222)&gt;$B$4,"",D222+_xll.RiskExpon(1/$B$3))</f>
        <v/>
      </c>
      <c r="E223" t="str">
        <f t="shared" ca="1" si="3"/>
        <v/>
      </c>
      <c r="F223" t="str">
        <f ca="1">IF(E223="","",_xll.RiskWeibull($B$1,$B$2))</f>
        <v/>
      </c>
      <c r="G223" t="str">
        <f ca="1">IF(F223="","",$B$5+C223*$B$4-SUM($F$2:F223))</f>
        <v/>
      </c>
    </row>
    <row r="224" spans="4:7" x14ac:dyDescent="0.25">
      <c r="D224" t="str">
        <f ca="1">IF(SUM($D$2:D223)&gt;$B$4,"",D223+_xll.RiskExpon(1/$B$3))</f>
        <v/>
      </c>
      <c r="E224" t="str">
        <f t="shared" ca="1" si="3"/>
        <v/>
      </c>
      <c r="F224" t="str">
        <f ca="1">IF(E224="","",_xll.RiskWeibull($B$1,$B$2))</f>
        <v/>
      </c>
      <c r="G224" t="str">
        <f ca="1">IF(F224="","",$B$5+C224*$B$4-SUM($F$2:F224))</f>
        <v/>
      </c>
    </row>
    <row r="225" spans="4:7" x14ac:dyDescent="0.25">
      <c r="D225" t="str">
        <f ca="1">IF(SUM($D$2:D224)&gt;$B$4,"",D224+_xll.RiskExpon(1/$B$3))</f>
        <v/>
      </c>
      <c r="E225" t="str">
        <f t="shared" ca="1" si="3"/>
        <v/>
      </c>
      <c r="F225" t="str">
        <f ca="1">IF(E225="","",_xll.RiskWeibull($B$1,$B$2))</f>
        <v/>
      </c>
      <c r="G225" t="str">
        <f ca="1">IF(F225="","",$B$5+C225*$B$4-SUM($F$2:F225))</f>
        <v/>
      </c>
    </row>
    <row r="226" spans="4:7" x14ac:dyDescent="0.25">
      <c r="D226" t="str">
        <f ca="1">IF(SUM($D$2:D225)&gt;$B$4,"",D225+_xll.RiskExpon(1/$B$3))</f>
        <v/>
      </c>
      <c r="E226" t="str">
        <f t="shared" ca="1" si="3"/>
        <v/>
      </c>
      <c r="F226" t="str">
        <f ca="1">IF(E226="","",_xll.RiskWeibull($B$1,$B$2))</f>
        <v/>
      </c>
      <c r="G226" t="str">
        <f ca="1">IF(F226="","",$B$5+C226*$B$4-SUM($F$2:F226))</f>
        <v/>
      </c>
    </row>
    <row r="227" spans="4:7" x14ac:dyDescent="0.25">
      <c r="D227" t="str">
        <f ca="1">IF(SUM($D$2:D226)&gt;$B$4,"",D226+_xll.RiskExpon(1/$B$3))</f>
        <v/>
      </c>
      <c r="E227" t="str">
        <f t="shared" ca="1" si="3"/>
        <v/>
      </c>
      <c r="F227" t="str">
        <f ca="1">IF(E227="","",_xll.RiskWeibull($B$1,$B$2))</f>
        <v/>
      </c>
      <c r="G227" t="str">
        <f ca="1">IF(F227="","",$B$5+C227*$B$4-SUM($F$2:F227))</f>
        <v/>
      </c>
    </row>
    <row r="228" spans="4:7" x14ac:dyDescent="0.25">
      <c r="D228" t="str">
        <f ca="1">IF(SUM($D$2:D227)&gt;$B$4,"",D227+_xll.RiskExpon(1/$B$3))</f>
        <v/>
      </c>
      <c r="E228" t="str">
        <f t="shared" ca="1" si="3"/>
        <v/>
      </c>
      <c r="F228" t="str">
        <f ca="1">IF(E228="","",_xll.RiskWeibull($B$1,$B$2))</f>
        <v/>
      </c>
      <c r="G228" t="str">
        <f ca="1">IF(F228="","",$B$5+C228*$B$4-SUM($F$2:F228))</f>
        <v/>
      </c>
    </row>
    <row r="229" spans="4:7" x14ac:dyDescent="0.25">
      <c r="D229" t="str">
        <f ca="1">IF(SUM($D$2:D228)&gt;$B$4,"",D228+_xll.RiskExpon(1/$B$3))</f>
        <v/>
      </c>
      <c r="E229" t="str">
        <f t="shared" ca="1" si="3"/>
        <v/>
      </c>
      <c r="F229" t="str">
        <f ca="1">IF(E229="","",_xll.RiskWeibull($B$1,$B$2))</f>
        <v/>
      </c>
      <c r="G229" t="str">
        <f ca="1">IF(F229="","",$B$5+C229*$B$4-SUM($F$2:F229))</f>
        <v/>
      </c>
    </row>
    <row r="230" spans="4:7" x14ac:dyDescent="0.25">
      <c r="D230" t="str">
        <f ca="1">IF(SUM($D$2:D229)&gt;$B$4,"",D229+_xll.RiskExpon(1/$B$3))</f>
        <v/>
      </c>
      <c r="E230" t="str">
        <f t="shared" ca="1" si="3"/>
        <v/>
      </c>
      <c r="F230" t="str">
        <f ca="1">IF(E230="","",_xll.RiskWeibull($B$1,$B$2))</f>
        <v/>
      </c>
      <c r="G230" t="str">
        <f ca="1">IF(F230="","",$B$5+C230*$B$4-SUM($F$2:F230))</f>
        <v/>
      </c>
    </row>
    <row r="231" spans="4:7" x14ac:dyDescent="0.25">
      <c r="D231" t="str">
        <f ca="1">IF(SUM($D$2:D230)&gt;$B$4,"",D230+_xll.RiskExpon(1/$B$3))</f>
        <v/>
      </c>
      <c r="E231" t="str">
        <f t="shared" ca="1" si="3"/>
        <v/>
      </c>
      <c r="F231" t="str">
        <f ca="1">IF(E231="","",_xll.RiskWeibull($B$1,$B$2))</f>
        <v/>
      </c>
      <c r="G231" t="str">
        <f ca="1">IF(F231="","",$B$5+C231*$B$4-SUM($F$2:F231))</f>
        <v/>
      </c>
    </row>
    <row r="232" spans="4:7" x14ac:dyDescent="0.25">
      <c r="D232" t="str">
        <f ca="1">IF(SUM($D$2:D231)&gt;$B$4,"",D231+_xll.RiskExpon(1/$B$3))</f>
        <v/>
      </c>
      <c r="E232" t="str">
        <f t="shared" ca="1" si="3"/>
        <v/>
      </c>
      <c r="F232" t="str">
        <f ca="1">IF(E232="","",_xll.RiskWeibull($B$1,$B$2))</f>
        <v/>
      </c>
      <c r="G232" t="str">
        <f ca="1">IF(F232="","",$B$5+C232*$B$4-SUM($F$2:F232))</f>
        <v/>
      </c>
    </row>
    <row r="233" spans="4:7" x14ac:dyDescent="0.25">
      <c r="D233" t="str">
        <f ca="1">IF(SUM($D$2:D232)&gt;$B$4,"",D232+_xll.RiskExpon(1/$B$3))</f>
        <v/>
      </c>
      <c r="E233" t="str">
        <f t="shared" ca="1" si="3"/>
        <v/>
      </c>
      <c r="F233" t="str">
        <f ca="1">IF(E233="","",_xll.RiskWeibull($B$1,$B$2))</f>
        <v/>
      </c>
      <c r="G233" t="str">
        <f ca="1">IF(F233="","",$B$5+C233*$B$4-SUM($F$2:F233))</f>
        <v/>
      </c>
    </row>
    <row r="234" spans="4:7" x14ac:dyDescent="0.25">
      <c r="D234" t="str">
        <f ca="1">IF(SUM($D$2:D233)&gt;$B$4,"",D233+_xll.RiskExpon(1/$B$3))</f>
        <v/>
      </c>
      <c r="E234" t="str">
        <f t="shared" ca="1" si="3"/>
        <v/>
      </c>
      <c r="F234" t="str">
        <f ca="1">IF(E234="","",_xll.RiskWeibull($B$1,$B$2))</f>
        <v/>
      </c>
      <c r="G234" t="str">
        <f ca="1">IF(F234="","",$B$5+C234*$B$4-SUM($F$2:F234))</f>
        <v/>
      </c>
    </row>
    <row r="235" spans="4:7" x14ac:dyDescent="0.25">
      <c r="D235" t="str">
        <f ca="1">IF(SUM($D$2:D234)&gt;$B$4,"",D234+_xll.RiskExpon(1/$B$3))</f>
        <v/>
      </c>
      <c r="E235" t="str">
        <f t="shared" ca="1" si="3"/>
        <v/>
      </c>
      <c r="F235" t="str">
        <f ca="1">IF(E235="","",_xll.RiskWeibull($B$1,$B$2))</f>
        <v/>
      </c>
      <c r="G235" t="str">
        <f ca="1">IF(F235="","",$B$5+C235*$B$4-SUM($F$2:F235))</f>
        <v/>
      </c>
    </row>
    <row r="236" spans="4:7" x14ac:dyDescent="0.25">
      <c r="D236" t="str">
        <f ca="1">IF(SUM($D$2:D235)&gt;$B$4,"",D235+_xll.RiskExpon(1/$B$3))</f>
        <v/>
      </c>
      <c r="E236" t="str">
        <f t="shared" ca="1" si="3"/>
        <v/>
      </c>
      <c r="F236" t="str">
        <f ca="1">IF(E236="","",_xll.RiskWeibull($B$1,$B$2))</f>
        <v/>
      </c>
      <c r="G236" t="str">
        <f ca="1">IF(F236="","",$B$5+C236*$B$4-SUM($F$2:F236))</f>
        <v/>
      </c>
    </row>
    <row r="237" spans="4:7" x14ac:dyDescent="0.25">
      <c r="D237" t="str">
        <f ca="1">IF(SUM($D$2:D236)&gt;$B$4,"",D236+_xll.RiskExpon(1/$B$3))</f>
        <v/>
      </c>
      <c r="E237" t="str">
        <f t="shared" ca="1" si="3"/>
        <v/>
      </c>
      <c r="F237" t="str">
        <f ca="1">IF(E237="","",_xll.RiskWeibull($B$1,$B$2))</f>
        <v/>
      </c>
      <c r="G237" t="str">
        <f ca="1">IF(F237="","",$B$5+C237*$B$4-SUM($F$2:F237))</f>
        <v/>
      </c>
    </row>
    <row r="238" spans="4:7" x14ac:dyDescent="0.25">
      <c r="D238" t="str">
        <f ca="1">IF(SUM($D$2:D237)&gt;$B$4,"",D237+_xll.RiskExpon(1/$B$3))</f>
        <v/>
      </c>
      <c r="E238" t="str">
        <f t="shared" ca="1" si="3"/>
        <v/>
      </c>
      <c r="F238" t="str">
        <f ca="1">IF(E238="","",_xll.RiskWeibull($B$1,$B$2))</f>
        <v/>
      </c>
      <c r="G238" t="str">
        <f ca="1">IF(F238="","",$B$5+C238*$B$4-SUM($F$2:F238))</f>
        <v/>
      </c>
    </row>
    <row r="239" spans="4:7" x14ac:dyDescent="0.25">
      <c r="D239" t="str">
        <f ca="1">IF(SUM($D$2:D238)&gt;$B$4,"",D238+_xll.RiskExpon(1/$B$3))</f>
        <v/>
      </c>
      <c r="E239" t="str">
        <f t="shared" ca="1" si="3"/>
        <v/>
      </c>
      <c r="F239" t="str">
        <f ca="1">IF(E239="","",_xll.RiskWeibull($B$1,$B$2))</f>
        <v/>
      </c>
      <c r="G239" t="str">
        <f ca="1">IF(F239="","",$B$5+C239*$B$4-SUM($F$2:F239))</f>
        <v/>
      </c>
    </row>
    <row r="240" spans="4:7" x14ac:dyDescent="0.25">
      <c r="D240" t="str">
        <f ca="1">IF(SUM($D$2:D239)&gt;$B$4,"",D239+_xll.RiskExpon(1/$B$3))</f>
        <v/>
      </c>
      <c r="E240" t="str">
        <f t="shared" ca="1" si="3"/>
        <v/>
      </c>
      <c r="F240" t="str">
        <f ca="1">IF(E240="","",_xll.RiskWeibull($B$1,$B$2))</f>
        <v/>
      </c>
      <c r="G240" t="str">
        <f ca="1">IF(F240="","",$B$5+C240*$B$4-SUM($F$2:F240))</f>
        <v/>
      </c>
    </row>
    <row r="241" spans="4:7" x14ac:dyDescent="0.25">
      <c r="D241" t="str">
        <f ca="1">IF(SUM($D$2:D240)&gt;$B$4,"",D240+_xll.RiskExpon(1/$B$3))</f>
        <v/>
      </c>
      <c r="E241" t="str">
        <f t="shared" ca="1" si="3"/>
        <v/>
      </c>
      <c r="F241" t="str">
        <f ca="1">IF(E241="","",_xll.RiskWeibull($B$1,$B$2))</f>
        <v/>
      </c>
      <c r="G241" t="str">
        <f ca="1">IF(F241="","",$B$5+C241*$B$4-SUM($F$2:F241))</f>
        <v/>
      </c>
    </row>
    <row r="242" spans="4:7" x14ac:dyDescent="0.25">
      <c r="D242" t="str">
        <f ca="1">IF(SUM($D$2:D241)&gt;$B$4,"",D241+_xll.RiskExpon(1/$B$3))</f>
        <v/>
      </c>
      <c r="E242" t="str">
        <f t="shared" ca="1" si="3"/>
        <v/>
      </c>
      <c r="F242" t="str">
        <f ca="1">IF(E242="","",_xll.RiskWeibull($B$1,$B$2))</f>
        <v/>
      </c>
      <c r="G242" t="str">
        <f ca="1">IF(F242="","",$B$5+C242*$B$4-SUM($F$2:F242))</f>
        <v/>
      </c>
    </row>
    <row r="243" spans="4:7" x14ac:dyDescent="0.25">
      <c r="D243" t="str">
        <f ca="1">IF(SUM($D$2:D242)&gt;$B$4,"",D242+_xll.RiskExpon(1/$B$3))</f>
        <v/>
      </c>
      <c r="E243" t="str">
        <f t="shared" ca="1" si="3"/>
        <v/>
      </c>
      <c r="F243" t="str">
        <f ca="1">IF(E243="","",_xll.RiskWeibull($B$1,$B$2))</f>
        <v/>
      </c>
      <c r="G243" t="str">
        <f ca="1">IF(F243="","",$B$5+C243*$B$4-SUM($F$2:F243))</f>
        <v/>
      </c>
    </row>
    <row r="244" spans="4:7" x14ac:dyDescent="0.25">
      <c r="D244" t="str">
        <f ca="1">IF(SUM($D$2:D243)&gt;$B$4,"",D243+_xll.RiskExpon(1/$B$3))</f>
        <v/>
      </c>
      <c r="E244" t="str">
        <f t="shared" ca="1" si="3"/>
        <v/>
      </c>
      <c r="F244" t="str">
        <f ca="1">IF(E244="","",_xll.RiskWeibull($B$1,$B$2))</f>
        <v/>
      </c>
      <c r="G244" t="str">
        <f ca="1">IF(F244="","",$B$5+C244*$B$4-SUM($F$2:F244))</f>
        <v/>
      </c>
    </row>
    <row r="245" spans="4:7" x14ac:dyDescent="0.25">
      <c r="D245" t="str">
        <f ca="1">IF(SUM($D$2:D244)&gt;$B$4,"",D244+_xll.RiskExpon(1/$B$3))</f>
        <v/>
      </c>
      <c r="E245" t="str">
        <f t="shared" ca="1" si="3"/>
        <v/>
      </c>
      <c r="F245" t="str">
        <f ca="1">IF(E245="","",_xll.RiskWeibull($B$1,$B$2))</f>
        <v/>
      </c>
      <c r="G245" t="str">
        <f ca="1">IF(F245="","",$B$5+C245*$B$4-SUM($F$2:F245))</f>
        <v/>
      </c>
    </row>
    <row r="246" spans="4:7" x14ac:dyDescent="0.25">
      <c r="D246" t="str">
        <f ca="1">IF(SUM($D$2:D245)&gt;$B$4,"",D245+_xll.RiskExpon(1/$B$3))</f>
        <v/>
      </c>
      <c r="E246" t="str">
        <f t="shared" ca="1" si="3"/>
        <v/>
      </c>
      <c r="F246" t="str">
        <f ca="1">IF(E246="","",_xll.RiskWeibull($B$1,$B$2))</f>
        <v/>
      </c>
      <c r="G246" t="str">
        <f ca="1">IF(F246="","",$B$5+C246*$B$4-SUM($F$2:F246))</f>
        <v/>
      </c>
    </row>
    <row r="247" spans="4:7" x14ac:dyDescent="0.25">
      <c r="D247" t="str">
        <f ca="1">IF(SUM($D$2:D246)&gt;$B$4,"",D246+_xll.RiskExpon(1/$B$3))</f>
        <v/>
      </c>
      <c r="E247" t="str">
        <f t="shared" ca="1" si="3"/>
        <v/>
      </c>
      <c r="F247" t="str">
        <f ca="1">IF(E247="","",_xll.RiskWeibull($B$1,$B$2))</f>
        <v/>
      </c>
      <c r="G247" t="str">
        <f ca="1">IF(F247="","",$B$5+C247*$B$4-SUM($F$2:F247))</f>
        <v/>
      </c>
    </row>
    <row r="248" spans="4:7" x14ac:dyDescent="0.25">
      <c r="D248" t="str">
        <f ca="1">IF(SUM($D$2:D247)&gt;$B$4,"",D247+_xll.RiskExpon(1/$B$3))</f>
        <v/>
      </c>
      <c r="E248" t="str">
        <f t="shared" ca="1" si="3"/>
        <v/>
      </c>
      <c r="F248" t="str">
        <f ca="1">IF(E248="","",_xll.RiskWeibull($B$1,$B$2))</f>
        <v/>
      </c>
      <c r="G248" t="str">
        <f ca="1">IF(F248="","",$B$5+C248*$B$4-SUM($F$2:F248))</f>
        <v/>
      </c>
    </row>
    <row r="249" spans="4:7" x14ac:dyDescent="0.25">
      <c r="D249" t="str">
        <f ca="1">IF(SUM($D$2:D248)&gt;$B$4,"",D248+_xll.RiskExpon(1/$B$3))</f>
        <v/>
      </c>
      <c r="E249" t="str">
        <f t="shared" ca="1" si="3"/>
        <v/>
      </c>
      <c r="F249" t="str">
        <f ca="1">IF(E249="","",_xll.RiskWeibull($B$1,$B$2))</f>
        <v/>
      </c>
      <c r="G249" t="str">
        <f ca="1">IF(F249="","",$B$5+C249*$B$4-SUM($F$2:F249))</f>
        <v/>
      </c>
    </row>
    <row r="250" spans="4:7" x14ac:dyDescent="0.25">
      <c r="D250" t="str">
        <f ca="1">IF(SUM($D$2:D249)&gt;$B$4,"",D249+_xll.RiskExpon(1/$B$3))</f>
        <v/>
      </c>
      <c r="E250" t="str">
        <f t="shared" ca="1" si="3"/>
        <v/>
      </c>
      <c r="F250" t="str">
        <f ca="1">IF(E250="","",_xll.RiskWeibull($B$1,$B$2))</f>
        <v/>
      </c>
      <c r="G250" t="str">
        <f ca="1">IF(F250="","",$B$5+C250*$B$4-SUM($F$2:F250))</f>
        <v/>
      </c>
    </row>
    <row r="251" spans="4:7" x14ac:dyDescent="0.25">
      <c r="D251" t="str">
        <f ca="1">IF(SUM($D$2:D250)&gt;$B$4,"",D250+_xll.RiskExpon(1/$B$3))</f>
        <v/>
      </c>
      <c r="E251" t="str">
        <f t="shared" ca="1" si="3"/>
        <v/>
      </c>
      <c r="F251" t="str">
        <f ca="1">IF(E251="","",_xll.RiskWeibull($B$1,$B$2))</f>
        <v/>
      </c>
      <c r="G251" t="str">
        <f ca="1">IF(F251="","",$B$5+C251*$B$4-SUM($F$2:F251))</f>
        <v/>
      </c>
    </row>
    <row r="252" spans="4:7" x14ac:dyDescent="0.25">
      <c r="D252" t="str">
        <f ca="1">IF(SUM($D$2:D251)&gt;$B$4,"",D251+_xll.RiskExpon(1/$B$3))</f>
        <v/>
      </c>
      <c r="E252" t="str">
        <f t="shared" ca="1" si="3"/>
        <v/>
      </c>
      <c r="F252" t="str">
        <f ca="1">IF(E252="","",_xll.RiskWeibull($B$1,$B$2))</f>
        <v/>
      </c>
      <c r="G252" t="str">
        <f ca="1">IF(F252="","",$B$5+C252*$B$4-SUM($F$2:F252))</f>
        <v/>
      </c>
    </row>
    <row r="253" spans="4:7" x14ac:dyDescent="0.25">
      <c r="D253" t="str">
        <f ca="1">IF(SUM($D$2:D252)&gt;$B$4,"",D252+_xll.RiskExpon(1/$B$3))</f>
        <v/>
      </c>
      <c r="E253" t="str">
        <f t="shared" ca="1" si="3"/>
        <v/>
      </c>
      <c r="F253" t="str">
        <f ca="1">IF(E253="","",_xll.RiskWeibull($B$1,$B$2))</f>
        <v/>
      </c>
      <c r="G253" t="str">
        <f ca="1">IF(F253="","",$B$5+C253*$B$4-SUM($F$2:F253))</f>
        <v/>
      </c>
    </row>
    <row r="254" spans="4:7" x14ac:dyDescent="0.25">
      <c r="D254" t="str">
        <f ca="1">IF(SUM($D$2:D253)&gt;$B$4,"",D253+_xll.RiskExpon(1/$B$3))</f>
        <v/>
      </c>
      <c r="E254" t="str">
        <f t="shared" ca="1" si="3"/>
        <v/>
      </c>
      <c r="F254" t="str">
        <f ca="1">IF(E254="","",_xll.RiskWeibull($B$1,$B$2))</f>
        <v/>
      </c>
      <c r="G254" t="str">
        <f ca="1">IF(F254="","",$B$5+C254*$B$4-SUM($F$2:F254))</f>
        <v/>
      </c>
    </row>
    <row r="255" spans="4:7" x14ac:dyDescent="0.25">
      <c r="D255" t="str">
        <f ca="1">IF(SUM($D$2:D254)&gt;$B$4,"",D254+_xll.RiskExpon(1/$B$3))</f>
        <v/>
      </c>
      <c r="E255" t="str">
        <f t="shared" ca="1" si="3"/>
        <v/>
      </c>
      <c r="F255" t="str">
        <f ca="1">IF(E255="","",_xll.RiskWeibull($B$1,$B$2))</f>
        <v/>
      </c>
      <c r="G255" t="str">
        <f ca="1">IF(F255="","",$B$5+C255*$B$4-SUM($F$2:F255))</f>
        <v/>
      </c>
    </row>
    <row r="256" spans="4:7" x14ac:dyDescent="0.25">
      <c r="D256" t="str">
        <f ca="1">IF(SUM($D$2:D255)&gt;$B$4,"",D255+_xll.RiskExpon(1/$B$3))</f>
        <v/>
      </c>
      <c r="E256" t="str">
        <f t="shared" ca="1" si="3"/>
        <v/>
      </c>
      <c r="F256" t="str">
        <f ca="1">IF(E256="","",_xll.RiskWeibull($B$1,$B$2))</f>
        <v/>
      </c>
      <c r="G256" t="str">
        <f ca="1">IF(F256="","",$B$5+C256*$B$4-SUM($F$2:F256))</f>
        <v/>
      </c>
    </row>
    <row r="257" spans="4:7" x14ac:dyDescent="0.25">
      <c r="D257" t="str">
        <f ca="1">IF(SUM($D$2:D256)&gt;$B$4,"",D256+_xll.RiskExpon(1/$B$3))</f>
        <v/>
      </c>
      <c r="E257" t="str">
        <f t="shared" ca="1" si="3"/>
        <v/>
      </c>
      <c r="F257" t="str">
        <f ca="1">IF(E257="","",_xll.RiskWeibull($B$1,$B$2))</f>
        <v/>
      </c>
      <c r="G257" t="str">
        <f ca="1">IF(F257="","",$B$5+C257*$B$4-SUM($F$2:F257))</f>
        <v/>
      </c>
    </row>
    <row r="258" spans="4:7" x14ac:dyDescent="0.25">
      <c r="D258" t="str">
        <f ca="1">IF(SUM($D$2:D257)&gt;$B$4,"",D257+_xll.RiskExpon(1/$B$3))</f>
        <v/>
      </c>
      <c r="E258" t="str">
        <f t="shared" ca="1" si="3"/>
        <v/>
      </c>
      <c r="F258" t="str">
        <f ca="1">IF(E258="","",_xll.RiskWeibull($B$1,$B$2))</f>
        <v/>
      </c>
      <c r="G258" t="str">
        <f ca="1">IF(F258="","",$B$5+C258*$B$4-SUM($F$2:F258))</f>
        <v/>
      </c>
    </row>
    <row r="259" spans="4:7" x14ac:dyDescent="0.25">
      <c r="D259" t="str">
        <f ca="1">IF(SUM($D$2:D258)&gt;$B$4,"",D258+_xll.RiskExpon(1/$B$3))</f>
        <v/>
      </c>
      <c r="E259" t="str">
        <f t="shared" ca="1" si="3"/>
        <v/>
      </c>
      <c r="F259" t="str">
        <f ca="1">IF(E259="","",_xll.RiskWeibull($B$1,$B$2))</f>
        <v/>
      </c>
      <c r="G259" t="str">
        <f ca="1">IF(F259="","",$B$5+C259*$B$4-SUM($F$2:F259))</f>
        <v/>
      </c>
    </row>
    <row r="260" spans="4:7" x14ac:dyDescent="0.25">
      <c r="D260" t="str">
        <f ca="1">IF(SUM($D$2:D259)&gt;$B$4,"",D259+_xll.RiskExpon(1/$B$3))</f>
        <v/>
      </c>
      <c r="E260" t="str">
        <f t="shared" ref="E260:E323" ca="1" si="4">IF(E259&lt;$B$7,E259+1,"")</f>
        <v/>
      </c>
      <c r="F260" t="str">
        <f ca="1">IF(E260="","",_xll.RiskWeibull($B$1,$B$2))</f>
        <v/>
      </c>
      <c r="G260" t="str">
        <f ca="1">IF(F260="","",$B$5+C260*$B$4-SUM($F$2:F260))</f>
        <v/>
      </c>
    </row>
    <row r="261" spans="4:7" x14ac:dyDescent="0.25">
      <c r="D261" t="str">
        <f ca="1">IF(SUM($D$2:D260)&gt;$B$4,"",D260+_xll.RiskExpon(1/$B$3))</f>
        <v/>
      </c>
      <c r="E261" t="str">
        <f t="shared" ca="1" si="4"/>
        <v/>
      </c>
      <c r="F261" t="str">
        <f ca="1">IF(E261="","",_xll.RiskWeibull($B$1,$B$2))</f>
        <v/>
      </c>
      <c r="G261" t="str">
        <f ca="1">IF(F261="","",$B$5+C261*$B$4-SUM($F$2:F261))</f>
        <v/>
      </c>
    </row>
    <row r="262" spans="4:7" x14ac:dyDescent="0.25">
      <c r="D262" t="str">
        <f ca="1">IF(SUM($D$2:D261)&gt;$B$4,"",D261+_xll.RiskExpon(1/$B$3))</f>
        <v/>
      </c>
      <c r="E262" t="str">
        <f t="shared" ca="1" si="4"/>
        <v/>
      </c>
      <c r="F262" t="str">
        <f ca="1">IF(E262="","",_xll.RiskWeibull($B$1,$B$2))</f>
        <v/>
      </c>
      <c r="G262" t="str">
        <f ca="1">IF(F262="","",$B$5+C262*$B$4-SUM($F$2:F262))</f>
        <v/>
      </c>
    </row>
    <row r="263" spans="4:7" x14ac:dyDescent="0.25">
      <c r="D263" t="str">
        <f ca="1">IF(SUM($D$2:D262)&gt;$B$4,"",D262+_xll.RiskExpon(1/$B$3))</f>
        <v/>
      </c>
      <c r="E263" t="str">
        <f t="shared" ca="1" si="4"/>
        <v/>
      </c>
      <c r="F263" t="str">
        <f ca="1">IF(E263="","",_xll.RiskWeibull($B$1,$B$2))</f>
        <v/>
      </c>
      <c r="G263" t="str">
        <f ca="1">IF(F263="","",$B$5+C263*$B$4-SUM($F$2:F263))</f>
        <v/>
      </c>
    </row>
    <row r="264" spans="4:7" x14ac:dyDescent="0.25">
      <c r="D264" t="str">
        <f ca="1">IF(SUM($D$2:D263)&gt;$B$4,"",D263+_xll.RiskExpon(1/$B$3))</f>
        <v/>
      </c>
      <c r="E264" t="str">
        <f t="shared" ca="1" si="4"/>
        <v/>
      </c>
      <c r="F264" t="str">
        <f ca="1">IF(E264="","",_xll.RiskWeibull($B$1,$B$2))</f>
        <v/>
      </c>
      <c r="G264" t="str">
        <f ca="1">IF(F264="","",$B$5+C264*$B$4-SUM($F$2:F264))</f>
        <v/>
      </c>
    </row>
    <row r="265" spans="4:7" x14ac:dyDescent="0.25">
      <c r="D265" t="str">
        <f ca="1">IF(SUM($D$2:D264)&gt;$B$4,"",D264+_xll.RiskExpon(1/$B$3))</f>
        <v/>
      </c>
      <c r="E265" t="str">
        <f t="shared" ca="1" si="4"/>
        <v/>
      </c>
      <c r="F265" t="str">
        <f ca="1">IF(E265="","",_xll.RiskWeibull($B$1,$B$2))</f>
        <v/>
      </c>
      <c r="G265" t="str">
        <f ca="1">IF(F265="","",$B$5+C265*$B$4-SUM($F$2:F265))</f>
        <v/>
      </c>
    </row>
    <row r="266" spans="4:7" x14ac:dyDescent="0.25">
      <c r="D266" t="str">
        <f ca="1">IF(SUM($D$2:D265)&gt;$B$4,"",D265+_xll.RiskExpon(1/$B$3))</f>
        <v/>
      </c>
      <c r="E266" t="str">
        <f t="shared" ca="1" si="4"/>
        <v/>
      </c>
      <c r="F266" t="str">
        <f ca="1">IF(E266="","",_xll.RiskWeibull($B$1,$B$2))</f>
        <v/>
      </c>
      <c r="G266" t="str">
        <f ca="1">IF(F266="","",$B$5+C266*$B$4-SUM($F$2:F266))</f>
        <v/>
      </c>
    </row>
    <row r="267" spans="4:7" x14ac:dyDescent="0.25">
      <c r="D267" t="str">
        <f ca="1">IF(SUM($D$2:D266)&gt;$B$4,"",D266+_xll.RiskExpon(1/$B$3))</f>
        <v/>
      </c>
      <c r="E267" t="str">
        <f t="shared" ca="1" si="4"/>
        <v/>
      </c>
      <c r="F267" t="str">
        <f ca="1">IF(E267="","",_xll.RiskWeibull($B$1,$B$2))</f>
        <v/>
      </c>
      <c r="G267" t="str">
        <f ca="1">IF(F267="","",$B$5+C267*$B$4-SUM($F$2:F267))</f>
        <v/>
      </c>
    </row>
    <row r="268" spans="4:7" x14ac:dyDescent="0.25">
      <c r="D268" t="str">
        <f ca="1">IF(SUM($D$2:D267)&gt;$B$4,"",D267+_xll.RiskExpon(1/$B$3))</f>
        <v/>
      </c>
      <c r="E268" t="str">
        <f t="shared" ca="1" si="4"/>
        <v/>
      </c>
      <c r="F268" t="str">
        <f ca="1">IF(E268="","",_xll.RiskWeibull($B$1,$B$2))</f>
        <v/>
      </c>
      <c r="G268" t="str">
        <f ca="1">IF(F268="","",$B$5+C268*$B$4-SUM($F$2:F268))</f>
        <v/>
      </c>
    </row>
    <row r="269" spans="4:7" x14ac:dyDescent="0.25">
      <c r="D269" t="str">
        <f ca="1">IF(SUM($D$2:D268)&gt;$B$4,"",D268+_xll.RiskExpon(1/$B$3))</f>
        <v/>
      </c>
      <c r="E269" t="str">
        <f t="shared" ca="1" si="4"/>
        <v/>
      </c>
      <c r="F269" t="str">
        <f ca="1">IF(E269="","",_xll.RiskWeibull($B$1,$B$2))</f>
        <v/>
      </c>
      <c r="G269" t="str">
        <f ca="1">IF(F269="","",$B$5+C269*$B$4-SUM($F$2:F269))</f>
        <v/>
      </c>
    </row>
    <row r="270" spans="4:7" x14ac:dyDescent="0.25">
      <c r="D270" t="str">
        <f ca="1">IF(SUM($D$2:D269)&gt;$B$4,"",D269+_xll.RiskExpon(1/$B$3))</f>
        <v/>
      </c>
      <c r="E270" t="str">
        <f t="shared" ca="1" si="4"/>
        <v/>
      </c>
      <c r="F270" t="str">
        <f ca="1">IF(E270="","",_xll.RiskWeibull($B$1,$B$2))</f>
        <v/>
      </c>
      <c r="G270" t="str">
        <f ca="1">IF(F270="","",$B$5+C270*$B$4-SUM($F$2:F270))</f>
        <v/>
      </c>
    </row>
    <row r="271" spans="4:7" x14ac:dyDescent="0.25">
      <c r="D271" t="str">
        <f ca="1">IF(SUM($D$2:D270)&gt;$B$4,"",D270+_xll.RiskExpon(1/$B$3))</f>
        <v/>
      </c>
      <c r="E271" t="str">
        <f t="shared" ca="1" si="4"/>
        <v/>
      </c>
      <c r="F271" t="str">
        <f ca="1">IF(E271="","",_xll.RiskWeibull($B$1,$B$2))</f>
        <v/>
      </c>
      <c r="G271" t="str">
        <f ca="1">IF(F271="","",$B$5+C271*$B$4-SUM($F$2:F271))</f>
        <v/>
      </c>
    </row>
    <row r="272" spans="4:7" x14ac:dyDescent="0.25">
      <c r="D272" t="str">
        <f ca="1">IF(SUM($D$2:D271)&gt;$B$4,"",D271+_xll.RiskExpon(1/$B$3))</f>
        <v/>
      </c>
      <c r="E272" t="str">
        <f t="shared" ca="1" si="4"/>
        <v/>
      </c>
      <c r="F272" t="str">
        <f ca="1">IF(E272="","",_xll.RiskWeibull($B$1,$B$2))</f>
        <v/>
      </c>
      <c r="G272" t="str">
        <f ca="1">IF(F272="","",$B$5+C272*$B$4-SUM($F$2:F272))</f>
        <v/>
      </c>
    </row>
    <row r="273" spans="4:7" x14ac:dyDescent="0.25">
      <c r="D273" t="str">
        <f ca="1">IF(SUM($D$2:D272)&gt;$B$4,"",D272+_xll.RiskExpon(1/$B$3))</f>
        <v/>
      </c>
      <c r="E273" t="str">
        <f t="shared" ca="1" si="4"/>
        <v/>
      </c>
      <c r="F273" t="str">
        <f ca="1">IF(E273="","",_xll.RiskWeibull($B$1,$B$2))</f>
        <v/>
      </c>
      <c r="G273" t="str">
        <f ca="1">IF(F273="","",$B$5+C273*$B$4-SUM($F$2:F273))</f>
        <v/>
      </c>
    </row>
    <row r="274" spans="4:7" x14ac:dyDescent="0.25">
      <c r="D274" t="str">
        <f ca="1">IF(SUM($D$2:D273)&gt;$B$4,"",D273+_xll.RiskExpon(1/$B$3))</f>
        <v/>
      </c>
      <c r="E274" t="str">
        <f t="shared" ca="1" si="4"/>
        <v/>
      </c>
      <c r="F274" t="str">
        <f ca="1">IF(E274="","",_xll.RiskWeibull($B$1,$B$2))</f>
        <v/>
      </c>
      <c r="G274" t="str">
        <f ca="1">IF(F274="","",$B$5+C274*$B$4-SUM($F$2:F274))</f>
        <v/>
      </c>
    </row>
    <row r="275" spans="4:7" x14ac:dyDescent="0.25">
      <c r="D275" t="str">
        <f ca="1">IF(SUM($D$2:D274)&gt;$B$4,"",D274+_xll.RiskExpon(1/$B$3))</f>
        <v/>
      </c>
      <c r="E275" t="str">
        <f t="shared" ca="1" si="4"/>
        <v/>
      </c>
      <c r="F275" t="str">
        <f ca="1">IF(E275="","",_xll.RiskWeibull($B$1,$B$2))</f>
        <v/>
      </c>
      <c r="G275" t="str">
        <f ca="1">IF(F275="","",$B$5+C275*$B$4-SUM($F$2:F275))</f>
        <v/>
      </c>
    </row>
    <row r="276" spans="4:7" x14ac:dyDescent="0.25">
      <c r="D276" t="str">
        <f ca="1">IF(SUM($D$2:D275)&gt;$B$4,"",D275+_xll.RiskExpon(1/$B$3))</f>
        <v/>
      </c>
      <c r="E276" t="str">
        <f t="shared" ca="1" si="4"/>
        <v/>
      </c>
      <c r="F276" t="str">
        <f ca="1">IF(E276="","",_xll.RiskWeibull($B$1,$B$2))</f>
        <v/>
      </c>
      <c r="G276" t="str">
        <f ca="1">IF(F276="","",$B$5+C276*$B$4-SUM($F$2:F276))</f>
        <v/>
      </c>
    </row>
    <row r="277" spans="4:7" x14ac:dyDescent="0.25">
      <c r="D277" t="str">
        <f ca="1">IF(SUM($D$2:D276)&gt;$B$4,"",D276+_xll.RiskExpon(1/$B$3))</f>
        <v/>
      </c>
      <c r="E277" t="str">
        <f t="shared" ca="1" si="4"/>
        <v/>
      </c>
      <c r="F277" t="str">
        <f ca="1">IF(E277="","",_xll.RiskWeibull($B$1,$B$2))</f>
        <v/>
      </c>
      <c r="G277" t="str">
        <f ca="1">IF(F277="","",$B$5+C277*$B$4-SUM($F$2:F277))</f>
        <v/>
      </c>
    </row>
    <row r="278" spans="4:7" x14ac:dyDescent="0.25">
      <c r="D278" t="str">
        <f ca="1">IF(SUM($D$2:D277)&gt;$B$4,"",D277+_xll.RiskExpon(1/$B$3))</f>
        <v/>
      </c>
      <c r="E278" t="str">
        <f t="shared" ca="1" si="4"/>
        <v/>
      </c>
      <c r="F278" t="str">
        <f ca="1">IF(E278="","",_xll.RiskWeibull($B$1,$B$2))</f>
        <v/>
      </c>
      <c r="G278" t="str">
        <f ca="1">IF(F278="","",$B$5+C278*$B$4-SUM($F$2:F278))</f>
        <v/>
      </c>
    </row>
    <row r="279" spans="4:7" x14ac:dyDescent="0.25">
      <c r="D279" t="str">
        <f ca="1">IF(SUM($D$2:D278)&gt;$B$4,"",D278+_xll.RiskExpon(1/$B$3))</f>
        <v/>
      </c>
      <c r="E279" t="str">
        <f t="shared" ca="1" si="4"/>
        <v/>
      </c>
      <c r="F279" t="str">
        <f ca="1">IF(E279="","",_xll.RiskWeibull($B$1,$B$2))</f>
        <v/>
      </c>
      <c r="G279" t="str">
        <f ca="1">IF(F279="","",$B$5+C279*$B$4-SUM($F$2:F279))</f>
        <v/>
      </c>
    </row>
    <row r="280" spans="4:7" x14ac:dyDescent="0.25">
      <c r="D280" t="str">
        <f ca="1">IF(SUM($D$2:D279)&gt;$B$4,"",D279+_xll.RiskExpon(1/$B$3))</f>
        <v/>
      </c>
      <c r="E280" t="str">
        <f t="shared" ca="1" si="4"/>
        <v/>
      </c>
      <c r="F280" t="str">
        <f ca="1">IF(E280="","",_xll.RiskWeibull($B$1,$B$2))</f>
        <v/>
      </c>
      <c r="G280" t="str">
        <f ca="1">IF(F280="","",$B$5+C280*$B$4-SUM($F$2:F280))</f>
        <v/>
      </c>
    </row>
    <row r="281" spans="4:7" x14ac:dyDescent="0.25">
      <c r="D281" t="str">
        <f ca="1">IF(SUM($D$2:D280)&gt;$B$4,"",D280+_xll.RiskExpon(1/$B$3))</f>
        <v/>
      </c>
      <c r="E281" t="str">
        <f t="shared" ca="1" si="4"/>
        <v/>
      </c>
      <c r="F281" t="str">
        <f ca="1">IF(E281="","",_xll.RiskWeibull($B$1,$B$2))</f>
        <v/>
      </c>
      <c r="G281" t="str">
        <f ca="1">IF(F281="","",$B$5+C281*$B$4-SUM($F$2:F281))</f>
        <v/>
      </c>
    </row>
    <row r="282" spans="4:7" x14ac:dyDescent="0.25">
      <c r="D282" t="str">
        <f ca="1">IF(SUM($D$2:D281)&gt;$B$4,"",D281+_xll.RiskExpon(1/$B$3))</f>
        <v/>
      </c>
      <c r="E282" t="str">
        <f t="shared" ca="1" si="4"/>
        <v/>
      </c>
      <c r="F282" t="str">
        <f ca="1">IF(E282="","",_xll.RiskWeibull($B$1,$B$2))</f>
        <v/>
      </c>
      <c r="G282" t="str">
        <f ca="1">IF(F282="","",$B$5+C282*$B$4-SUM($F$2:F282))</f>
        <v/>
      </c>
    </row>
    <row r="283" spans="4:7" x14ac:dyDescent="0.25">
      <c r="D283" t="str">
        <f ca="1">IF(SUM($D$2:D282)&gt;$B$4,"",D282+_xll.RiskExpon(1/$B$3))</f>
        <v/>
      </c>
      <c r="E283" t="str">
        <f t="shared" ca="1" si="4"/>
        <v/>
      </c>
      <c r="F283" t="str">
        <f ca="1">IF(E283="","",_xll.RiskWeibull($B$1,$B$2))</f>
        <v/>
      </c>
      <c r="G283" t="str">
        <f ca="1">IF(F283="","",$B$5+C283*$B$4-SUM($F$2:F283))</f>
        <v/>
      </c>
    </row>
    <row r="284" spans="4:7" x14ac:dyDescent="0.25">
      <c r="D284" t="str">
        <f ca="1">IF(SUM($D$2:D283)&gt;$B$4,"",D283+_xll.RiskExpon(1/$B$3))</f>
        <v/>
      </c>
      <c r="E284" t="str">
        <f t="shared" ca="1" si="4"/>
        <v/>
      </c>
      <c r="F284" t="str">
        <f ca="1">IF(E284="","",_xll.RiskWeibull($B$1,$B$2))</f>
        <v/>
      </c>
      <c r="G284" t="str">
        <f ca="1">IF(F284="","",$B$5+C284*$B$4-SUM($F$2:F284))</f>
        <v/>
      </c>
    </row>
    <row r="285" spans="4:7" x14ac:dyDescent="0.25">
      <c r="D285" t="str">
        <f ca="1">IF(SUM($D$2:D284)&gt;$B$4,"",D284+_xll.RiskExpon(1/$B$3))</f>
        <v/>
      </c>
      <c r="E285" t="str">
        <f t="shared" ca="1" si="4"/>
        <v/>
      </c>
      <c r="F285" t="str">
        <f ca="1">IF(E285="","",_xll.RiskWeibull($B$1,$B$2))</f>
        <v/>
      </c>
      <c r="G285" t="str">
        <f ca="1">IF(F285="","",$B$5+C285*$B$4-SUM($F$2:F285))</f>
        <v/>
      </c>
    </row>
    <row r="286" spans="4:7" x14ac:dyDescent="0.25">
      <c r="D286" t="str">
        <f ca="1">IF(SUM($D$2:D285)&gt;$B$4,"",D285+_xll.RiskExpon(1/$B$3))</f>
        <v/>
      </c>
      <c r="E286" t="str">
        <f t="shared" ca="1" si="4"/>
        <v/>
      </c>
      <c r="F286" t="str">
        <f ca="1">IF(E286="","",_xll.RiskWeibull($B$1,$B$2))</f>
        <v/>
      </c>
      <c r="G286" t="str">
        <f ca="1">IF(F286="","",$B$5+C286*$B$4-SUM($F$2:F286))</f>
        <v/>
      </c>
    </row>
    <row r="287" spans="4:7" x14ac:dyDescent="0.25">
      <c r="D287" t="str">
        <f ca="1">IF(SUM($D$2:D286)&gt;$B$4,"",D286+_xll.RiskExpon(1/$B$3))</f>
        <v/>
      </c>
      <c r="E287" t="str">
        <f t="shared" ca="1" si="4"/>
        <v/>
      </c>
      <c r="F287" t="str">
        <f ca="1">IF(E287="","",_xll.RiskWeibull($B$1,$B$2))</f>
        <v/>
      </c>
      <c r="G287" t="str">
        <f ca="1">IF(F287="","",$B$5+C287*$B$4-SUM($F$2:F287))</f>
        <v/>
      </c>
    </row>
    <row r="288" spans="4:7" x14ac:dyDescent="0.25">
      <c r="D288" t="str">
        <f ca="1">IF(SUM($D$2:D287)&gt;$B$4,"",D287+_xll.RiskExpon(1/$B$3))</f>
        <v/>
      </c>
      <c r="E288" t="str">
        <f t="shared" ca="1" si="4"/>
        <v/>
      </c>
      <c r="F288" t="str">
        <f ca="1">IF(E288="","",_xll.RiskWeibull($B$1,$B$2))</f>
        <v/>
      </c>
      <c r="G288" t="str">
        <f ca="1">IF(F288="","",$B$5+C288*$B$4-SUM($F$2:F288))</f>
        <v/>
      </c>
    </row>
    <row r="289" spans="4:7" x14ac:dyDescent="0.25">
      <c r="D289" t="str">
        <f ca="1">IF(SUM($D$2:D288)&gt;$B$4,"",D288+_xll.RiskExpon(1/$B$3))</f>
        <v/>
      </c>
      <c r="E289" t="str">
        <f t="shared" ca="1" si="4"/>
        <v/>
      </c>
      <c r="F289" t="str">
        <f ca="1">IF(E289="","",_xll.RiskWeibull($B$1,$B$2))</f>
        <v/>
      </c>
      <c r="G289" t="str">
        <f ca="1">IF(F289="","",$B$5+C289*$B$4-SUM($F$2:F289))</f>
        <v/>
      </c>
    </row>
    <row r="290" spans="4:7" x14ac:dyDescent="0.25">
      <c r="D290" t="str">
        <f ca="1">IF(SUM($D$2:D289)&gt;$B$4,"",D289+_xll.RiskExpon(1/$B$3))</f>
        <v/>
      </c>
      <c r="E290" t="str">
        <f t="shared" ca="1" si="4"/>
        <v/>
      </c>
      <c r="F290" t="str">
        <f ca="1">IF(E290="","",_xll.RiskWeibull($B$1,$B$2))</f>
        <v/>
      </c>
      <c r="G290" t="str">
        <f ca="1">IF(F290="","",$B$5+C290*$B$4-SUM($F$2:F290))</f>
        <v/>
      </c>
    </row>
    <row r="291" spans="4:7" x14ac:dyDescent="0.25">
      <c r="D291" t="str">
        <f ca="1">IF(SUM($D$2:D290)&gt;$B$4,"",D290+_xll.RiskExpon(1/$B$3))</f>
        <v/>
      </c>
      <c r="E291" t="str">
        <f t="shared" ca="1" si="4"/>
        <v/>
      </c>
      <c r="F291" t="str">
        <f ca="1">IF(E291="","",_xll.RiskWeibull($B$1,$B$2))</f>
        <v/>
      </c>
      <c r="G291" t="str">
        <f ca="1">IF(F291="","",$B$5+C291*$B$4-SUM($F$2:F291))</f>
        <v/>
      </c>
    </row>
    <row r="292" spans="4:7" x14ac:dyDescent="0.25">
      <c r="D292" t="str">
        <f ca="1">IF(SUM($D$2:D291)&gt;$B$4,"",D291+_xll.RiskExpon(1/$B$3))</f>
        <v/>
      </c>
      <c r="E292" t="str">
        <f t="shared" ca="1" si="4"/>
        <v/>
      </c>
      <c r="F292" t="str">
        <f ca="1">IF(E292="","",_xll.RiskWeibull($B$1,$B$2))</f>
        <v/>
      </c>
      <c r="G292" t="str">
        <f ca="1">IF(F292="","",$B$5+C292*$B$4-SUM($F$2:F292))</f>
        <v/>
      </c>
    </row>
    <row r="293" spans="4:7" x14ac:dyDescent="0.25">
      <c r="D293" t="str">
        <f ca="1">IF(SUM($D$2:D292)&gt;$B$4,"",D292+_xll.RiskExpon(1/$B$3))</f>
        <v/>
      </c>
      <c r="E293" t="str">
        <f t="shared" ca="1" si="4"/>
        <v/>
      </c>
      <c r="F293" t="str">
        <f ca="1">IF(E293="","",_xll.RiskWeibull($B$1,$B$2))</f>
        <v/>
      </c>
      <c r="G293" t="str">
        <f ca="1">IF(F293="","",$B$5+C293*$B$4-SUM($F$2:F293))</f>
        <v/>
      </c>
    </row>
    <row r="294" spans="4:7" x14ac:dyDescent="0.25">
      <c r="D294" t="str">
        <f ca="1">IF(SUM($D$2:D293)&gt;$B$4,"",D293+_xll.RiskExpon(1/$B$3))</f>
        <v/>
      </c>
      <c r="E294" t="str">
        <f t="shared" ca="1" si="4"/>
        <v/>
      </c>
      <c r="F294" t="str">
        <f ca="1">IF(E294="","",_xll.RiskWeibull($B$1,$B$2))</f>
        <v/>
      </c>
      <c r="G294" t="str">
        <f ca="1">IF(F294="","",$B$5+C294*$B$4-SUM($F$2:F294))</f>
        <v/>
      </c>
    </row>
    <row r="295" spans="4:7" x14ac:dyDescent="0.25">
      <c r="D295" t="str">
        <f ca="1">IF(SUM($D$2:D294)&gt;$B$4,"",D294+_xll.RiskExpon(1/$B$3))</f>
        <v/>
      </c>
      <c r="E295" t="str">
        <f t="shared" ca="1" si="4"/>
        <v/>
      </c>
      <c r="F295" t="str">
        <f ca="1">IF(E295="","",_xll.RiskWeibull($B$1,$B$2))</f>
        <v/>
      </c>
      <c r="G295" t="str">
        <f ca="1">IF(F295="","",$B$5+C295*$B$4-SUM($F$2:F295))</f>
        <v/>
      </c>
    </row>
    <row r="296" spans="4:7" x14ac:dyDescent="0.25">
      <c r="D296" t="str">
        <f ca="1">IF(SUM($D$2:D295)&gt;$B$4,"",D295+_xll.RiskExpon(1/$B$3))</f>
        <v/>
      </c>
      <c r="E296" t="str">
        <f t="shared" ca="1" si="4"/>
        <v/>
      </c>
      <c r="F296" t="str">
        <f ca="1">IF(E296="","",_xll.RiskWeibull($B$1,$B$2))</f>
        <v/>
      </c>
      <c r="G296" t="str">
        <f ca="1">IF(F296="","",$B$5+C296*$B$4-SUM($F$2:F296))</f>
        <v/>
      </c>
    </row>
    <row r="297" spans="4:7" x14ac:dyDescent="0.25">
      <c r="D297" t="str">
        <f ca="1">IF(SUM($D$2:D296)&gt;$B$4,"",D296+_xll.RiskExpon(1/$B$3))</f>
        <v/>
      </c>
      <c r="E297" t="str">
        <f t="shared" ca="1" si="4"/>
        <v/>
      </c>
      <c r="F297" t="str">
        <f ca="1">IF(E297="","",_xll.RiskWeibull($B$1,$B$2))</f>
        <v/>
      </c>
      <c r="G297" t="str">
        <f ca="1">IF(F297="","",$B$5+C297*$B$4-SUM($F$2:F297))</f>
        <v/>
      </c>
    </row>
    <row r="298" spans="4:7" x14ac:dyDescent="0.25">
      <c r="D298" t="str">
        <f ca="1">IF(SUM($D$2:D297)&gt;$B$4,"",D297+_xll.RiskExpon(1/$B$3))</f>
        <v/>
      </c>
      <c r="E298" t="str">
        <f t="shared" ca="1" si="4"/>
        <v/>
      </c>
      <c r="F298" t="str">
        <f ca="1">IF(E298="","",_xll.RiskWeibull($B$1,$B$2))</f>
        <v/>
      </c>
      <c r="G298" t="str">
        <f ca="1">IF(F298="","",$B$5+C298*$B$4-SUM($F$2:F298))</f>
        <v/>
      </c>
    </row>
    <row r="299" spans="4:7" x14ac:dyDescent="0.25">
      <c r="D299" t="str">
        <f ca="1">IF(SUM($D$2:D298)&gt;$B$4,"",D298+_xll.RiskExpon(1/$B$3))</f>
        <v/>
      </c>
      <c r="E299" t="str">
        <f t="shared" ca="1" si="4"/>
        <v/>
      </c>
      <c r="F299" t="str">
        <f ca="1">IF(E299="","",_xll.RiskWeibull($B$1,$B$2))</f>
        <v/>
      </c>
      <c r="G299" t="str">
        <f ca="1">IF(F299="","",$B$5+C299*$B$4-SUM($F$2:F299))</f>
        <v/>
      </c>
    </row>
    <row r="300" spans="4:7" x14ac:dyDescent="0.25">
      <c r="D300" t="str">
        <f ca="1">IF(SUM($D$2:D299)&gt;$B$4,"",D299+_xll.RiskExpon(1/$B$3))</f>
        <v/>
      </c>
      <c r="E300" t="str">
        <f t="shared" ca="1" si="4"/>
        <v/>
      </c>
      <c r="F300" t="str">
        <f ca="1">IF(E300="","",_xll.RiskWeibull($B$1,$B$2))</f>
        <v/>
      </c>
      <c r="G300" t="str">
        <f ca="1">IF(F300="","",$B$5+C300*$B$4-SUM($F$2:F300))</f>
        <v/>
      </c>
    </row>
    <row r="301" spans="4:7" x14ac:dyDescent="0.25">
      <c r="D301" t="str">
        <f ca="1">IF(SUM($D$2:D300)&gt;$B$4,"",D300+_xll.RiskExpon(1/$B$3))</f>
        <v/>
      </c>
      <c r="E301" t="str">
        <f t="shared" ca="1" si="4"/>
        <v/>
      </c>
      <c r="F301" t="str">
        <f ca="1">IF(E301="","",_xll.RiskWeibull($B$1,$B$2))</f>
        <v/>
      </c>
      <c r="G301" t="str">
        <f ca="1">IF(F301="","",$B$5+C301*$B$4-SUM($F$2:F301))</f>
        <v/>
      </c>
    </row>
    <row r="302" spans="4:7" x14ac:dyDescent="0.25">
      <c r="D302" t="str">
        <f ca="1">IF(SUM($D$2:D301)&gt;$B$4,"",D301+_xll.RiskExpon(1/$B$3))</f>
        <v/>
      </c>
      <c r="E302" t="str">
        <f t="shared" ca="1" si="4"/>
        <v/>
      </c>
      <c r="F302" t="str">
        <f ca="1">IF(E302="","",_xll.RiskWeibull($B$1,$B$2))</f>
        <v/>
      </c>
      <c r="G302" t="str">
        <f ca="1">IF(F302="","",$B$5+C302*$B$4-SUM($F$2:F302))</f>
        <v/>
      </c>
    </row>
    <row r="303" spans="4:7" x14ac:dyDescent="0.25">
      <c r="D303" t="str">
        <f ca="1">IF(SUM($D$2:D302)&gt;$B$4,"",D302+_xll.RiskExpon(1/$B$3))</f>
        <v/>
      </c>
      <c r="E303" t="str">
        <f t="shared" ca="1" si="4"/>
        <v/>
      </c>
      <c r="F303" t="str">
        <f ca="1">IF(E303="","",_xll.RiskWeibull($B$1,$B$2))</f>
        <v/>
      </c>
      <c r="G303" t="str">
        <f ca="1">IF(F303="","",$B$5+C303*$B$4-SUM($F$2:F303))</f>
        <v/>
      </c>
    </row>
    <row r="304" spans="4:7" x14ac:dyDescent="0.25">
      <c r="D304" t="str">
        <f ca="1">IF(SUM($D$2:D303)&gt;$B$4,"",D303+_xll.RiskExpon(1/$B$3))</f>
        <v/>
      </c>
      <c r="E304" t="str">
        <f t="shared" ca="1" si="4"/>
        <v/>
      </c>
      <c r="F304" t="str">
        <f ca="1">IF(E304="","",_xll.RiskWeibull($B$1,$B$2))</f>
        <v/>
      </c>
      <c r="G304" t="str">
        <f ca="1">IF(F304="","",$B$5+C304*$B$4-SUM($F$2:F304))</f>
        <v/>
      </c>
    </row>
    <row r="305" spans="4:7" x14ac:dyDescent="0.25">
      <c r="D305" t="str">
        <f ca="1">IF(SUM($D$2:D304)&gt;$B$4,"",D304+_xll.RiskExpon(1/$B$3))</f>
        <v/>
      </c>
      <c r="E305" t="str">
        <f t="shared" ca="1" si="4"/>
        <v/>
      </c>
      <c r="F305" t="str">
        <f ca="1">IF(E305="","",_xll.RiskWeibull($B$1,$B$2))</f>
        <v/>
      </c>
      <c r="G305" t="str">
        <f ca="1">IF(F305="","",$B$5+C305*$B$4-SUM($F$2:F305))</f>
        <v/>
      </c>
    </row>
    <row r="306" spans="4:7" x14ac:dyDescent="0.25">
      <c r="D306" t="str">
        <f ca="1">IF(SUM($D$2:D305)&gt;$B$4,"",D305+_xll.RiskExpon(1/$B$3))</f>
        <v/>
      </c>
      <c r="E306" t="str">
        <f t="shared" ca="1" si="4"/>
        <v/>
      </c>
      <c r="F306" t="str">
        <f ca="1">IF(E306="","",_xll.RiskWeibull($B$1,$B$2))</f>
        <v/>
      </c>
      <c r="G306" t="str">
        <f ca="1">IF(F306="","",$B$5+C306*$B$4-SUM($F$2:F306))</f>
        <v/>
      </c>
    </row>
    <row r="307" spans="4:7" x14ac:dyDescent="0.25">
      <c r="D307" t="str">
        <f ca="1">IF(SUM($D$2:D306)&gt;$B$4,"",D306+_xll.RiskExpon(1/$B$3))</f>
        <v/>
      </c>
      <c r="E307" t="str">
        <f t="shared" ca="1" si="4"/>
        <v/>
      </c>
      <c r="F307" t="str">
        <f ca="1">IF(E307="","",_xll.RiskWeibull($B$1,$B$2))</f>
        <v/>
      </c>
      <c r="G307" t="str">
        <f ca="1">IF(F307="","",$B$5+C307*$B$4-SUM($F$2:F307))</f>
        <v/>
      </c>
    </row>
    <row r="308" spans="4:7" x14ac:dyDescent="0.25">
      <c r="D308" t="str">
        <f ca="1">IF(SUM($D$2:D307)&gt;$B$4,"",D307+_xll.RiskExpon(1/$B$3))</f>
        <v/>
      </c>
      <c r="E308" t="str">
        <f t="shared" ca="1" si="4"/>
        <v/>
      </c>
      <c r="F308" t="str">
        <f ca="1">IF(E308="","",_xll.RiskWeibull($B$1,$B$2))</f>
        <v/>
      </c>
      <c r="G308" t="str">
        <f ca="1">IF(F308="","",$B$5+C308*$B$4-SUM($F$2:F308))</f>
        <v/>
      </c>
    </row>
    <row r="309" spans="4:7" x14ac:dyDescent="0.25">
      <c r="D309" t="str">
        <f ca="1">IF(SUM($D$2:D308)&gt;$B$4,"",D308+_xll.RiskExpon(1/$B$3))</f>
        <v/>
      </c>
      <c r="E309" t="str">
        <f t="shared" ca="1" si="4"/>
        <v/>
      </c>
      <c r="F309" t="str">
        <f ca="1">IF(E309="","",_xll.RiskWeibull($B$1,$B$2))</f>
        <v/>
      </c>
      <c r="G309" t="str">
        <f ca="1">IF(F309="","",$B$5+C309*$B$4-SUM($F$2:F309))</f>
        <v/>
      </c>
    </row>
    <row r="310" spans="4:7" x14ac:dyDescent="0.25">
      <c r="D310" t="str">
        <f ca="1">IF(SUM($D$2:D309)&gt;$B$4,"",D309+_xll.RiskExpon(1/$B$3))</f>
        <v/>
      </c>
      <c r="E310" t="str">
        <f t="shared" ca="1" si="4"/>
        <v/>
      </c>
      <c r="F310" t="str">
        <f ca="1">IF(E310="","",_xll.RiskWeibull($B$1,$B$2))</f>
        <v/>
      </c>
      <c r="G310" t="str">
        <f ca="1">IF(F310="","",$B$5+C310*$B$4-SUM($F$2:F310))</f>
        <v/>
      </c>
    </row>
    <row r="311" spans="4:7" x14ac:dyDescent="0.25">
      <c r="D311" t="str">
        <f ca="1">IF(SUM($D$2:D310)&gt;$B$4,"",D310+_xll.RiskExpon(1/$B$3))</f>
        <v/>
      </c>
      <c r="E311" t="str">
        <f t="shared" ca="1" si="4"/>
        <v/>
      </c>
      <c r="F311" t="str">
        <f ca="1">IF(E311="","",_xll.RiskWeibull($B$1,$B$2))</f>
        <v/>
      </c>
      <c r="G311" t="str">
        <f ca="1">IF(F311="","",$B$5+C311*$B$4-SUM($F$2:F311))</f>
        <v/>
      </c>
    </row>
    <row r="312" spans="4:7" x14ac:dyDescent="0.25">
      <c r="D312" t="str">
        <f ca="1">IF(SUM($D$2:D311)&gt;$B$4,"",D311+_xll.RiskExpon(1/$B$3))</f>
        <v/>
      </c>
      <c r="E312" t="str">
        <f t="shared" ca="1" si="4"/>
        <v/>
      </c>
      <c r="F312" t="str">
        <f ca="1">IF(E312="","",_xll.RiskWeibull($B$1,$B$2))</f>
        <v/>
      </c>
      <c r="G312" t="str">
        <f ca="1">IF(F312="","",$B$5+C312*$B$4-SUM($F$2:F312))</f>
        <v/>
      </c>
    </row>
    <row r="313" spans="4:7" x14ac:dyDescent="0.25">
      <c r="D313" t="str">
        <f ca="1">IF(SUM($D$2:D312)&gt;$B$4,"",D312+_xll.RiskExpon(1/$B$3))</f>
        <v/>
      </c>
      <c r="E313" t="str">
        <f t="shared" ca="1" si="4"/>
        <v/>
      </c>
      <c r="F313" t="str">
        <f ca="1">IF(E313="","",_xll.RiskWeibull($B$1,$B$2))</f>
        <v/>
      </c>
      <c r="G313" t="str">
        <f ca="1">IF(F313="","",$B$5+C313*$B$4-SUM($F$2:F313))</f>
        <v/>
      </c>
    </row>
    <row r="314" spans="4:7" x14ac:dyDescent="0.25">
      <c r="D314" t="str">
        <f ca="1">IF(SUM($D$2:D313)&gt;$B$4,"",D313+_xll.RiskExpon(1/$B$3))</f>
        <v/>
      </c>
      <c r="E314" t="str">
        <f t="shared" ca="1" si="4"/>
        <v/>
      </c>
      <c r="F314" t="str">
        <f ca="1">IF(E314="","",_xll.RiskWeibull($B$1,$B$2))</f>
        <v/>
      </c>
      <c r="G314" t="str">
        <f ca="1">IF(F314="","",$B$5+C314*$B$4-SUM($F$2:F314))</f>
        <v/>
      </c>
    </row>
    <row r="315" spans="4:7" x14ac:dyDescent="0.25">
      <c r="D315" t="str">
        <f ca="1">IF(SUM($D$2:D314)&gt;$B$4,"",D314+_xll.RiskExpon(1/$B$3))</f>
        <v/>
      </c>
      <c r="E315" t="str">
        <f t="shared" ca="1" si="4"/>
        <v/>
      </c>
      <c r="F315" t="str">
        <f ca="1">IF(E315="","",_xll.RiskWeibull($B$1,$B$2))</f>
        <v/>
      </c>
      <c r="G315" t="str">
        <f ca="1">IF(F315="","",$B$5+C315*$B$4-SUM($F$2:F315))</f>
        <v/>
      </c>
    </row>
    <row r="316" spans="4:7" x14ac:dyDescent="0.25">
      <c r="D316" t="str">
        <f ca="1">IF(SUM($D$2:D315)&gt;$B$4,"",D315+_xll.RiskExpon(1/$B$3))</f>
        <v/>
      </c>
      <c r="E316" t="str">
        <f t="shared" ca="1" si="4"/>
        <v/>
      </c>
      <c r="F316" t="str">
        <f ca="1">IF(E316="","",_xll.RiskWeibull($B$1,$B$2))</f>
        <v/>
      </c>
      <c r="G316" t="str">
        <f ca="1">IF(F316="","",$B$5+C316*$B$4-SUM($F$2:F316))</f>
        <v/>
      </c>
    </row>
    <row r="317" spans="4:7" x14ac:dyDescent="0.25">
      <c r="D317" t="str">
        <f ca="1">IF(SUM($D$2:D316)&gt;$B$4,"",D316+_xll.RiskExpon(1/$B$3))</f>
        <v/>
      </c>
      <c r="E317" t="str">
        <f t="shared" ca="1" si="4"/>
        <v/>
      </c>
      <c r="F317" t="str">
        <f ca="1">IF(E317="","",_xll.RiskWeibull($B$1,$B$2))</f>
        <v/>
      </c>
      <c r="G317" t="str">
        <f ca="1">IF(F317="","",$B$5+C317*$B$4-SUM($F$2:F317))</f>
        <v/>
      </c>
    </row>
    <row r="318" spans="4:7" x14ac:dyDescent="0.25">
      <c r="D318" t="str">
        <f ca="1">IF(SUM($D$2:D317)&gt;$B$4,"",D317+_xll.RiskExpon(1/$B$3))</f>
        <v/>
      </c>
      <c r="E318" t="str">
        <f t="shared" ca="1" si="4"/>
        <v/>
      </c>
      <c r="F318" t="str">
        <f ca="1">IF(E318="","",_xll.RiskWeibull($B$1,$B$2))</f>
        <v/>
      </c>
      <c r="G318" t="str">
        <f ca="1">IF(F318="","",$B$5+C318*$B$4-SUM($F$2:F318))</f>
        <v/>
      </c>
    </row>
    <row r="319" spans="4:7" x14ac:dyDescent="0.25">
      <c r="D319" t="str">
        <f ca="1">IF(SUM($D$2:D318)&gt;$B$4,"",D318+_xll.RiskExpon(1/$B$3))</f>
        <v/>
      </c>
      <c r="E319" t="str">
        <f t="shared" ca="1" si="4"/>
        <v/>
      </c>
      <c r="F319" t="str">
        <f ca="1">IF(E319="","",_xll.RiskWeibull($B$1,$B$2))</f>
        <v/>
      </c>
      <c r="G319" t="str">
        <f ca="1">IF(F319="","",$B$5+C319*$B$4-SUM($F$2:F319))</f>
        <v/>
      </c>
    </row>
    <row r="320" spans="4:7" x14ac:dyDescent="0.25">
      <c r="D320" t="str">
        <f ca="1">IF(SUM($D$2:D319)&gt;$B$4,"",D319+_xll.RiskExpon(1/$B$3))</f>
        <v/>
      </c>
      <c r="E320" t="str">
        <f t="shared" ca="1" si="4"/>
        <v/>
      </c>
      <c r="F320" t="str">
        <f ca="1">IF(E320="","",_xll.RiskWeibull($B$1,$B$2))</f>
        <v/>
      </c>
      <c r="G320" t="str">
        <f ca="1">IF(F320="","",$B$5+C320*$B$4-SUM($F$2:F320))</f>
        <v/>
      </c>
    </row>
    <row r="321" spans="4:7" x14ac:dyDescent="0.25">
      <c r="D321" t="str">
        <f ca="1">IF(SUM($D$2:D320)&gt;$B$4,"",D320+_xll.RiskExpon(1/$B$3))</f>
        <v/>
      </c>
      <c r="E321" t="str">
        <f t="shared" ca="1" si="4"/>
        <v/>
      </c>
      <c r="F321" t="str">
        <f ca="1">IF(E321="","",_xll.RiskWeibull($B$1,$B$2))</f>
        <v/>
      </c>
      <c r="G321" t="str">
        <f ca="1">IF(F321="","",$B$5+C321*$B$4-SUM($F$2:F321))</f>
        <v/>
      </c>
    </row>
    <row r="322" spans="4:7" x14ac:dyDescent="0.25">
      <c r="D322" t="str">
        <f ca="1">IF(SUM($D$2:D321)&gt;$B$4,"",D321+_xll.RiskExpon(1/$B$3))</f>
        <v/>
      </c>
      <c r="E322" t="str">
        <f t="shared" ca="1" si="4"/>
        <v/>
      </c>
      <c r="F322" t="str">
        <f ca="1">IF(E322="","",_xll.RiskWeibull($B$1,$B$2))</f>
        <v/>
      </c>
      <c r="G322" t="str">
        <f ca="1">IF(F322="","",$B$5+C322*$B$4-SUM($F$2:F322))</f>
        <v/>
      </c>
    </row>
    <row r="323" spans="4:7" x14ac:dyDescent="0.25">
      <c r="D323" t="str">
        <f ca="1">IF(SUM($D$2:D322)&gt;$B$4,"",D322+_xll.RiskExpon(1/$B$3))</f>
        <v/>
      </c>
      <c r="E323" t="str">
        <f t="shared" ca="1" si="4"/>
        <v/>
      </c>
      <c r="F323" t="str">
        <f ca="1">IF(E323="","",_xll.RiskWeibull($B$1,$B$2))</f>
        <v/>
      </c>
      <c r="G323" t="str">
        <f ca="1">IF(F323="","",$B$5+C323*$B$4-SUM($F$2:F323))</f>
        <v/>
      </c>
    </row>
    <row r="324" spans="4:7" x14ac:dyDescent="0.25">
      <c r="D324" t="str">
        <f ca="1">IF(SUM($D$2:D323)&gt;$B$4,"",D323+_xll.RiskExpon(1/$B$3))</f>
        <v/>
      </c>
      <c r="E324" t="str">
        <f t="shared" ref="E324:E387" ca="1" si="5">IF(E323&lt;$B$7,E323+1,"")</f>
        <v/>
      </c>
      <c r="F324" t="str">
        <f ca="1">IF(E324="","",_xll.RiskWeibull($B$1,$B$2))</f>
        <v/>
      </c>
      <c r="G324" t="str">
        <f ca="1">IF(F324="","",$B$5+C324*$B$4-SUM($F$2:F324))</f>
        <v/>
      </c>
    </row>
    <row r="325" spans="4:7" x14ac:dyDescent="0.25">
      <c r="D325" t="str">
        <f ca="1">IF(SUM($D$2:D324)&gt;$B$4,"",D324+_xll.RiskExpon(1/$B$3))</f>
        <v/>
      </c>
      <c r="E325" t="str">
        <f t="shared" ca="1" si="5"/>
        <v/>
      </c>
      <c r="F325" t="str">
        <f ca="1">IF(E325="","",_xll.RiskWeibull($B$1,$B$2))</f>
        <v/>
      </c>
      <c r="G325" t="str">
        <f ca="1">IF(F325="","",$B$5+C325*$B$4-SUM($F$2:F325))</f>
        <v/>
      </c>
    </row>
    <row r="326" spans="4:7" x14ac:dyDescent="0.25">
      <c r="D326" t="str">
        <f ca="1">IF(SUM($D$2:D325)&gt;$B$4,"",D325+_xll.RiskExpon(1/$B$3))</f>
        <v/>
      </c>
      <c r="E326" t="str">
        <f t="shared" ca="1" si="5"/>
        <v/>
      </c>
      <c r="F326" t="str">
        <f ca="1">IF(E326="","",_xll.RiskWeibull($B$1,$B$2))</f>
        <v/>
      </c>
      <c r="G326" t="str">
        <f ca="1">IF(F326="","",$B$5+C326*$B$4-SUM($F$2:F326))</f>
        <v/>
      </c>
    </row>
    <row r="327" spans="4:7" x14ac:dyDescent="0.25">
      <c r="D327" t="str">
        <f ca="1">IF(SUM($D$2:D326)&gt;$B$4,"",D326+_xll.RiskExpon(1/$B$3))</f>
        <v/>
      </c>
      <c r="E327" t="str">
        <f t="shared" ca="1" si="5"/>
        <v/>
      </c>
      <c r="F327" t="str">
        <f ca="1">IF(E327="","",_xll.RiskWeibull($B$1,$B$2))</f>
        <v/>
      </c>
      <c r="G327" t="str">
        <f ca="1">IF(F327="","",$B$5+C327*$B$4-SUM($F$2:F327))</f>
        <v/>
      </c>
    </row>
    <row r="328" spans="4:7" x14ac:dyDescent="0.25">
      <c r="D328" t="str">
        <f ca="1">IF(SUM($D$2:D327)&gt;$B$4,"",D327+_xll.RiskExpon(1/$B$3))</f>
        <v/>
      </c>
      <c r="E328" t="str">
        <f t="shared" ca="1" si="5"/>
        <v/>
      </c>
      <c r="F328" t="str">
        <f ca="1">IF(E328="","",_xll.RiskWeibull($B$1,$B$2))</f>
        <v/>
      </c>
      <c r="G328" t="str">
        <f ca="1">IF(F328="","",$B$5+C328*$B$4-SUM($F$2:F328))</f>
        <v/>
      </c>
    </row>
    <row r="329" spans="4:7" x14ac:dyDescent="0.25">
      <c r="D329" t="str">
        <f ca="1">IF(SUM($D$2:D328)&gt;$B$4,"",D328+_xll.RiskExpon(1/$B$3))</f>
        <v/>
      </c>
      <c r="E329" t="str">
        <f t="shared" ca="1" si="5"/>
        <v/>
      </c>
      <c r="F329" t="str">
        <f ca="1">IF(E329="","",_xll.RiskWeibull($B$1,$B$2))</f>
        <v/>
      </c>
      <c r="G329" t="str">
        <f ca="1">IF(F329="","",$B$5+C329*$B$4-SUM($F$2:F329))</f>
        <v/>
      </c>
    </row>
    <row r="330" spans="4:7" x14ac:dyDescent="0.25">
      <c r="D330" t="str">
        <f ca="1">IF(SUM($D$2:D329)&gt;$B$4,"",D329+_xll.RiskExpon(1/$B$3))</f>
        <v/>
      </c>
      <c r="E330" t="str">
        <f t="shared" ca="1" si="5"/>
        <v/>
      </c>
      <c r="F330" t="str">
        <f ca="1">IF(E330="","",_xll.RiskWeibull($B$1,$B$2))</f>
        <v/>
      </c>
      <c r="G330" t="str">
        <f ca="1">IF(F330="","",$B$5+C330*$B$4-SUM($F$2:F330))</f>
        <v/>
      </c>
    </row>
    <row r="331" spans="4:7" x14ac:dyDescent="0.25">
      <c r="D331" t="str">
        <f ca="1">IF(SUM($D$2:D330)&gt;$B$4,"",D330+_xll.RiskExpon(1/$B$3))</f>
        <v/>
      </c>
      <c r="E331" t="str">
        <f t="shared" ca="1" si="5"/>
        <v/>
      </c>
      <c r="F331" t="str">
        <f ca="1">IF(E331="","",_xll.RiskWeibull($B$1,$B$2))</f>
        <v/>
      </c>
      <c r="G331" t="str">
        <f ca="1">IF(F331="","",$B$5+C331*$B$4-SUM($F$2:F331))</f>
        <v/>
      </c>
    </row>
    <row r="332" spans="4:7" x14ac:dyDescent="0.25">
      <c r="D332" t="str">
        <f ca="1">IF(SUM($D$2:D331)&gt;$B$4,"",D331+_xll.RiskExpon(1/$B$3))</f>
        <v/>
      </c>
      <c r="E332" t="str">
        <f t="shared" ca="1" si="5"/>
        <v/>
      </c>
      <c r="F332" t="str">
        <f ca="1">IF(E332="","",_xll.RiskWeibull($B$1,$B$2))</f>
        <v/>
      </c>
      <c r="G332" t="str">
        <f ca="1">IF(F332="","",$B$5+C332*$B$4-SUM($F$2:F332))</f>
        <v/>
      </c>
    </row>
    <row r="333" spans="4:7" x14ac:dyDescent="0.25">
      <c r="D333" t="str">
        <f ca="1">IF(SUM($D$2:D332)&gt;$B$4,"",D332+_xll.RiskExpon(1/$B$3))</f>
        <v/>
      </c>
      <c r="E333" t="str">
        <f t="shared" ca="1" si="5"/>
        <v/>
      </c>
      <c r="F333" t="str">
        <f ca="1">IF(E333="","",_xll.RiskWeibull($B$1,$B$2))</f>
        <v/>
      </c>
      <c r="G333" t="str">
        <f ca="1">IF(F333="","",$B$5+C333*$B$4-SUM($F$2:F333))</f>
        <v/>
      </c>
    </row>
    <row r="334" spans="4:7" x14ac:dyDescent="0.25">
      <c r="D334" t="str">
        <f ca="1">IF(SUM($D$2:D333)&gt;$B$4,"",D333+_xll.RiskExpon(1/$B$3))</f>
        <v/>
      </c>
      <c r="E334" t="str">
        <f t="shared" ca="1" si="5"/>
        <v/>
      </c>
      <c r="F334" t="str">
        <f ca="1">IF(E334="","",_xll.RiskWeibull($B$1,$B$2))</f>
        <v/>
      </c>
      <c r="G334" t="str">
        <f ca="1">IF(F334="","",$B$5+C334*$B$4-SUM($F$2:F334))</f>
        <v/>
      </c>
    </row>
    <row r="335" spans="4:7" x14ac:dyDescent="0.25">
      <c r="D335" t="str">
        <f ca="1">IF(SUM($D$2:D334)&gt;$B$4,"",D334+_xll.RiskExpon(1/$B$3))</f>
        <v/>
      </c>
      <c r="E335" t="str">
        <f t="shared" ca="1" si="5"/>
        <v/>
      </c>
      <c r="F335" t="str">
        <f ca="1">IF(E335="","",_xll.RiskWeibull($B$1,$B$2))</f>
        <v/>
      </c>
      <c r="G335" t="str">
        <f ca="1">IF(F335="","",$B$5+C335*$B$4-SUM($F$2:F335))</f>
        <v/>
      </c>
    </row>
    <row r="336" spans="4:7" x14ac:dyDescent="0.25">
      <c r="D336" t="str">
        <f ca="1">IF(SUM($D$2:D335)&gt;$B$4,"",D335+_xll.RiskExpon(1/$B$3))</f>
        <v/>
      </c>
      <c r="E336" t="str">
        <f t="shared" ca="1" si="5"/>
        <v/>
      </c>
      <c r="F336" t="str">
        <f ca="1">IF(E336="","",_xll.RiskWeibull($B$1,$B$2))</f>
        <v/>
      </c>
      <c r="G336" t="str">
        <f ca="1">IF(F336="","",$B$5+C336*$B$4-SUM($F$2:F336))</f>
        <v/>
      </c>
    </row>
    <row r="337" spans="4:7" x14ac:dyDescent="0.25">
      <c r="D337" t="str">
        <f ca="1">IF(SUM($D$2:D336)&gt;$B$4,"",D336+_xll.RiskExpon(1/$B$3))</f>
        <v/>
      </c>
      <c r="E337" t="str">
        <f t="shared" ca="1" si="5"/>
        <v/>
      </c>
      <c r="F337" t="str">
        <f ca="1">IF(E337="","",_xll.RiskWeibull($B$1,$B$2))</f>
        <v/>
      </c>
      <c r="G337" t="str">
        <f ca="1">IF(F337="","",$B$5+C337*$B$4-SUM($F$2:F337))</f>
        <v/>
      </c>
    </row>
    <row r="338" spans="4:7" x14ac:dyDescent="0.25">
      <c r="D338" t="str">
        <f ca="1">IF(SUM($D$2:D337)&gt;$B$4,"",D337+_xll.RiskExpon(1/$B$3))</f>
        <v/>
      </c>
      <c r="E338" t="str">
        <f t="shared" ca="1" si="5"/>
        <v/>
      </c>
      <c r="F338" t="str">
        <f ca="1">IF(E338="","",_xll.RiskWeibull($B$1,$B$2))</f>
        <v/>
      </c>
      <c r="G338" t="str">
        <f ca="1">IF(F338="","",$B$5+C338*$B$4-SUM($F$2:F338))</f>
        <v/>
      </c>
    </row>
    <row r="339" spans="4:7" x14ac:dyDescent="0.25">
      <c r="D339" t="str">
        <f ca="1">IF(SUM($D$2:D338)&gt;$B$4,"",D338+_xll.RiskExpon(1/$B$3))</f>
        <v/>
      </c>
      <c r="E339" t="str">
        <f t="shared" ca="1" si="5"/>
        <v/>
      </c>
      <c r="F339" t="str">
        <f ca="1">IF(E339="","",_xll.RiskWeibull($B$1,$B$2))</f>
        <v/>
      </c>
      <c r="G339" t="str">
        <f ca="1">IF(F339="","",$B$5+C339*$B$4-SUM($F$2:F339))</f>
        <v/>
      </c>
    </row>
    <row r="340" spans="4:7" x14ac:dyDescent="0.25">
      <c r="D340" t="str">
        <f ca="1">IF(SUM($D$2:D339)&gt;$B$4,"",D339+_xll.RiskExpon(1/$B$3))</f>
        <v/>
      </c>
      <c r="E340" t="str">
        <f t="shared" ca="1" si="5"/>
        <v/>
      </c>
      <c r="F340" t="str">
        <f ca="1">IF(E340="","",_xll.RiskWeibull($B$1,$B$2))</f>
        <v/>
      </c>
      <c r="G340" t="str">
        <f ca="1">IF(F340="","",$B$5+C340*$B$4-SUM($F$2:F340))</f>
        <v/>
      </c>
    </row>
    <row r="341" spans="4:7" x14ac:dyDescent="0.25">
      <c r="D341" t="str">
        <f ca="1">IF(SUM($D$2:D340)&gt;$B$4,"",D340+_xll.RiskExpon(1/$B$3))</f>
        <v/>
      </c>
      <c r="E341" t="str">
        <f t="shared" ca="1" si="5"/>
        <v/>
      </c>
      <c r="F341" t="str">
        <f ca="1">IF(E341="","",_xll.RiskWeibull($B$1,$B$2))</f>
        <v/>
      </c>
      <c r="G341" t="str">
        <f ca="1">IF(F341="","",$B$5+C341*$B$4-SUM($F$2:F341))</f>
        <v/>
      </c>
    </row>
    <row r="342" spans="4:7" x14ac:dyDescent="0.25">
      <c r="D342" t="str">
        <f ca="1">IF(SUM($D$2:D341)&gt;$B$4,"",D341+_xll.RiskExpon(1/$B$3))</f>
        <v/>
      </c>
      <c r="E342" t="str">
        <f t="shared" ca="1" si="5"/>
        <v/>
      </c>
      <c r="F342" t="str">
        <f ca="1">IF(E342="","",_xll.RiskWeibull($B$1,$B$2))</f>
        <v/>
      </c>
      <c r="G342" t="str">
        <f ca="1">IF(F342="","",$B$5+C342*$B$4-SUM($F$2:F342))</f>
        <v/>
      </c>
    </row>
    <row r="343" spans="4:7" x14ac:dyDescent="0.25">
      <c r="D343" t="str">
        <f ca="1">IF(SUM($D$2:D342)&gt;$B$4,"",D342+_xll.RiskExpon(1/$B$3))</f>
        <v/>
      </c>
      <c r="E343" t="str">
        <f t="shared" ca="1" si="5"/>
        <v/>
      </c>
      <c r="F343" t="str">
        <f ca="1">IF(E343="","",_xll.RiskWeibull($B$1,$B$2))</f>
        <v/>
      </c>
      <c r="G343" t="str">
        <f ca="1">IF(F343="","",$B$5+C343*$B$4-SUM($F$2:F343))</f>
        <v/>
      </c>
    </row>
    <row r="344" spans="4:7" x14ac:dyDescent="0.25">
      <c r="D344" t="str">
        <f ca="1">IF(SUM($D$2:D343)&gt;$B$4,"",D343+_xll.RiskExpon(1/$B$3))</f>
        <v/>
      </c>
      <c r="E344" t="str">
        <f t="shared" ca="1" si="5"/>
        <v/>
      </c>
      <c r="F344" t="str">
        <f ca="1">IF(E344="","",_xll.RiskWeibull($B$1,$B$2))</f>
        <v/>
      </c>
      <c r="G344" t="str">
        <f ca="1">IF(F344="","",$B$5+C344*$B$4-SUM($F$2:F344))</f>
        <v/>
      </c>
    </row>
    <row r="345" spans="4:7" x14ac:dyDescent="0.25">
      <c r="D345" t="str">
        <f ca="1">IF(SUM($D$2:D344)&gt;$B$4,"",D344+_xll.RiskExpon(1/$B$3))</f>
        <v/>
      </c>
      <c r="E345" t="str">
        <f t="shared" ca="1" si="5"/>
        <v/>
      </c>
      <c r="F345" t="str">
        <f ca="1">IF(E345="","",_xll.RiskWeibull($B$1,$B$2))</f>
        <v/>
      </c>
      <c r="G345" t="str">
        <f ca="1">IF(F345="","",$B$5+C345*$B$4-SUM($F$2:F345))</f>
        <v/>
      </c>
    </row>
    <row r="346" spans="4:7" x14ac:dyDescent="0.25">
      <c r="D346" t="str">
        <f ca="1">IF(SUM($D$2:D345)&gt;$B$4,"",D345+_xll.RiskExpon(1/$B$3))</f>
        <v/>
      </c>
      <c r="E346" t="str">
        <f t="shared" ca="1" si="5"/>
        <v/>
      </c>
      <c r="F346" t="str">
        <f ca="1">IF(E346="","",_xll.RiskWeibull($B$1,$B$2))</f>
        <v/>
      </c>
      <c r="G346" t="str">
        <f ca="1">IF(F346="","",$B$5+C346*$B$4-SUM($F$2:F346))</f>
        <v/>
      </c>
    </row>
    <row r="347" spans="4:7" x14ac:dyDescent="0.25">
      <c r="D347" t="str">
        <f ca="1">IF(SUM($D$2:D346)&gt;$B$4,"",D346+_xll.RiskExpon(1/$B$3))</f>
        <v/>
      </c>
      <c r="E347" t="str">
        <f t="shared" ca="1" si="5"/>
        <v/>
      </c>
      <c r="F347" t="str">
        <f ca="1">IF(E347="","",_xll.RiskWeibull($B$1,$B$2))</f>
        <v/>
      </c>
      <c r="G347" t="str">
        <f ca="1">IF(F347="","",$B$5+C347*$B$4-SUM($F$2:F347))</f>
        <v/>
      </c>
    </row>
    <row r="348" spans="4:7" x14ac:dyDescent="0.25">
      <c r="D348" t="str">
        <f ca="1">IF(SUM($D$2:D347)&gt;$B$4,"",D347+_xll.RiskExpon(1/$B$3))</f>
        <v/>
      </c>
      <c r="E348" t="str">
        <f t="shared" ca="1" si="5"/>
        <v/>
      </c>
      <c r="F348" t="str">
        <f ca="1">IF(E348="","",_xll.RiskWeibull($B$1,$B$2))</f>
        <v/>
      </c>
      <c r="G348" t="str">
        <f ca="1">IF(F348="","",$B$5+C348*$B$4-SUM($F$2:F348))</f>
        <v/>
      </c>
    </row>
    <row r="349" spans="4:7" x14ac:dyDescent="0.25">
      <c r="D349" t="str">
        <f ca="1">IF(SUM($D$2:D348)&gt;$B$4,"",D348+_xll.RiskExpon(1/$B$3))</f>
        <v/>
      </c>
      <c r="E349" t="str">
        <f t="shared" ca="1" si="5"/>
        <v/>
      </c>
      <c r="F349" t="str">
        <f ca="1">IF(E349="","",_xll.RiskWeibull($B$1,$B$2))</f>
        <v/>
      </c>
      <c r="G349" t="str">
        <f ca="1">IF(F349="","",$B$5+C349*$B$4-SUM($F$2:F349))</f>
        <v/>
      </c>
    </row>
    <row r="350" spans="4:7" x14ac:dyDescent="0.25">
      <c r="D350" t="str">
        <f ca="1">IF(SUM($D$2:D349)&gt;$B$4,"",D349+_xll.RiskExpon(1/$B$3))</f>
        <v/>
      </c>
      <c r="E350" t="str">
        <f t="shared" ca="1" si="5"/>
        <v/>
      </c>
      <c r="F350" t="str">
        <f ca="1">IF(E350="","",_xll.RiskWeibull($B$1,$B$2))</f>
        <v/>
      </c>
      <c r="G350" t="str">
        <f ca="1">IF(F350="","",$B$5+C350*$B$4-SUM($F$2:F350))</f>
        <v/>
      </c>
    </row>
    <row r="351" spans="4:7" x14ac:dyDescent="0.25">
      <c r="D351" t="str">
        <f ca="1">IF(SUM($D$2:D350)&gt;$B$4,"",D350+_xll.RiskExpon(1/$B$3))</f>
        <v/>
      </c>
      <c r="E351" t="str">
        <f t="shared" ca="1" si="5"/>
        <v/>
      </c>
      <c r="F351" t="str">
        <f ca="1">IF(E351="","",_xll.RiskWeibull($B$1,$B$2))</f>
        <v/>
      </c>
      <c r="G351" t="str">
        <f ca="1">IF(F351="","",$B$5+C351*$B$4-SUM($F$2:F351))</f>
        <v/>
      </c>
    </row>
    <row r="352" spans="4:7" x14ac:dyDescent="0.25">
      <c r="D352" t="str">
        <f ca="1">IF(SUM($D$2:D351)&gt;$B$4,"",D351+_xll.RiskExpon(1/$B$3))</f>
        <v/>
      </c>
      <c r="E352" t="str">
        <f t="shared" ca="1" si="5"/>
        <v/>
      </c>
      <c r="F352" t="str">
        <f ca="1">IF(E352="","",_xll.RiskWeibull($B$1,$B$2))</f>
        <v/>
      </c>
      <c r="G352" t="str">
        <f ca="1">IF(F352="","",$B$5+C352*$B$4-SUM($F$2:F352))</f>
        <v/>
      </c>
    </row>
    <row r="353" spans="4:7" x14ac:dyDescent="0.25">
      <c r="D353" t="str">
        <f ca="1">IF(SUM($D$2:D352)&gt;$B$4,"",D352+_xll.RiskExpon(1/$B$3))</f>
        <v/>
      </c>
      <c r="E353" t="str">
        <f t="shared" ca="1" si="5"/>
        <v/>
      </c>
      <c r="F353" t="str">
        <f ca="1">IF(E353="","",_xll.RiskWeibull($B$1,$B$2))</f>
        <v/>
      </c>
      <c r="G353" t="str">
        <f ca="1">IF(F353="","",$B$5+C353*$B$4-SUM($F$2:F353))</f>
        <v/>
      </c>
    </row>
    <row r="354" spans="4:7" x14ac:dyDescent="0.25">
      <c r="D354" t="str">
        <f ca="1">IF(SUM($D$2:D353)&gt;$B$4,"",D353+_xll.RiskExpon(1/$B$3))</f>
        <v/>
      </c>
      <c r="E354" t="str">
        <f t="shared" ca="1" si="5"/>
        <v/>
      </c>
      <c r="F354" t="str">
        <f ca="1">IF(E354="","",_xll.RiskWeibull($B$1,$B$2))</f>
        <v/>
      </c>
      <c r="G354" t="str">
        <f ca="1">IF(F354="","",$B$5+C354*$B$4-SUM($F$2:F354))</f>
        <v/>
      </c>
    </row>
    <row r="355" spans="4:7" x14ac:dyDescent="0.25">
      <c r="D355" t="str">
        <f ca="1">IF(SUM($D$2:D354)&gt;$B$4,"",D354+_xll.RiskExpon(1/$B$3))</f>
        <v/>
      </c>
      <c r="E355" t="str">
        <f t="shared" ca="1" si="5"/>
        <v/>
      </c>
      <c r="F355" t="str">
        <f ca="1">IF(E355="","",_xll.RiskWeibull($B$1,$B$2))</f>
        <v/>
      </c>
      <c r="G355" t="str">
        <f ca="1">IF(F355="","",$B$5+C355*$B$4-SUM($F$2:F355))</f>
        <v/>
      </c>
    </row>
    <row r="356" spans="4:7" x14ac:dyDescent="0.25">
      <c r="D356" t="str">
        <f ca="1">IF(SUM($D$2:D355)&gt;$B$4,"",D355+_xll.RiskExpon(1/$B$3))</f>
        <v/>
      </c>
      <c r="E356" t="str">
        <f t="shared" ca="1" si="5"/>
        <v/>
      </c>
      <c r="F356" t="str">
        <f ca="1">IF(E356="","",_xll.RiskWeibull($B$1,$B$2))</f>
        <v/>
      </c>
      <c r="G356" t="str">
        <f ca="1">IF(F356="","",$B$5+C356*$B$4-SUM($F$2:F356))</f>
        <v/>
      </c>
    </row>
    <row r="357" spans="4:7" x14ac:dyDescent="0.25">
      <c r="D357" t="str">
        <f ca="1">IF(SUM($D$2:D356)&gt;$B$4,"",D356+_xll.RiskExpon(1/$B$3))</f>
        <v/>
      </c>
      <c r="E357" t="str">
        <f t="shared" ca="1" si="5"/>
        <v/>
      </c>
      <c r="F357" t="str">
        <f ca="1">IF(E357="","",_xll.RiskWeibull($B$1,$B$2))</f>
        <v/>
      </c>
      <c r="G357" t="str">
        <f ca="1">IF(F357="","",$B$5+C357*$B$4-SUM($F$2:F357))</f>
        <v/>
      </c>
    </row>
    <row r="358" spans="4:7" x14ac:dyDescent="0.25">
      <c r="D358" t="str">
        <f ca="1">IF(SUM($D$2:D357)&gt;$B$4,"",D357+_xll.RiskExpon(1/$B$3))</f>
        <v/>
      </c>
      <c r="E358" t="str">
        <f t="shared" ca="1" si="5"/>
        <v/>
      </c>
      <c r="F358" t="str">
        <f ca="1">IF(E358="","",_xll.RiskWeibull($B$1,$B$2))</f>
        <v/>
      </c>
      <c r="G358" t="str">
        <f ca="1">IF(F358="","",$B$5+C358*$B$4-SUM($F$2:F358))</f>
        <v/>
      </c>
    </row>
    <row r="359" spans="4:7" x14ac:dyDescent="0.25">
      <c r="D359" t="str">
        <f ca="1">IF(SUM($D$2:D358)&gt;$B$4,"",D358+_xll.RiskExpon(1/$B$3))</f>
        <v/>
      </c>
      <c r="E359" t="str">
        <f t="shared" ca="1" si="5"/>
        <v/>
      </c>
      <c r="F359" t="str">
        <f ca="1">IF(E359="","",_xll.RiskWeibull($B$1,$B$2))</f>
        <v/>
      </c>
      <c r="G359" t="str">
        <f ca="1">IF(F359="","",$B$5+C359*$B$4-SUM($F$2:F359))</f>
        <v/>
      </c>
    </row>
    <row r="360" spans="4:7" x14ac:dyDescent="0.25">
      <c r="D360" t="str">
        <f ca="1">IF(SUM($D$2:D359)&gt;$B$4,"",D359+_xll.RiskExpon(1/$B$3))</f>
        <v/>
      </c>
      <c r="E360" t="str">
        <f t="shared" ca="1" si="5"/>
        <v/>
      </c>
      <c r="F360" t="str">
        <f ca="1">IF(E360="","",_xll.RiskWeibull($B$1,$B$2))</f>
        <v/>
      </c>
      <c r="G360" t="str">
        <f ca="1">IF(F360="","",$B$5+C360*$B$4-SUM($F$2:F360))</f>
        <v/>
      </c>
    </row>
    <row r="361" spans="4:7" x14ac:dyDescent="0.25">
      <c r="D361" t="str">
        <f ca="1">IF(SUM($D$2:D360)&gt;$B$4,"",D360+_xll.RiskExpon(1/$B$3))</f>
        <v/>
      </c>
      <c r="E361" t="str">
        <f t="shared" ca="1" si="5"/>
        <v/>
      </c>
      <c r="F361" t="str">
        <f ca="1">IF(E361="","",_xll.RiskWeibull($B$1,$B$2))</f>
        <v/>
      </c>
      <c r="G361" t="str">
        <f ca="1">IF(F361="","",$B$5+C361*$B$4-SUM($F$2:F361))</f>
        <v/>
      </c>
    </row>
    <row r="362" spans="4:7" x14ac:dyDescent="0.25">
      <c r="D362" t="str">
        <f ca="1">IF(SUM($D$2:D361)&gt;$B$4,"",D361+_xll.RiskExpon(1/$B$3))</f>
        <v/>
      </c>
      <c r="E362" t="str">
        <f t="shared" ca="1" si="5"/>
        <v/>
      </c>
      <c r="F362" t="str">
        <f ca="1">IF(E362="","",_xll.RiskWeibull($B$1,$B$2))</f>
        <v/>
      </c>
      <c r="G362" t="str">
        <f ca="1">IF(F362="","",$B$5+C362*$B$4-SUM($F$2:F362))</f>
        <v/>
      </c>
    </row>
    <row r="363" spans="4:7" x14ac:dyDescent="0.25">
      <c r="D363" t="str">
        <f ca="1">IF(SUM($D$2:D362)&gt;$B$4,"",D362+_xll.RiskExpon(1/$B$3))</f>
        <v/>
      </c>
      <c r="E363" t="str">
        <f t="shared" ca="1" si="5"/>
        <v/>
      </c>
      <c r="F363" t="str">
        <f ca="1">IF(E363="","",_xll.RiskWeibull($B$1,$B$2))</f>
        <v/>
      </c>
      <c r="G363" t="str">
        <f ca="1">IF(F363="","",$B$5+C363*$B$4-SUM($F$2:F363))</f>
        <v/>
      </c>
    </row>
    <row r="364" spans="4:7" x14ac:dyDescent="0.25">
      <c r="D364" t="str">
        <f ca="1">IF(SUM($D$2:D363)&gt;$B$4,"",D363+_xll.RiskExpon(1/$B$3))</f>
        <v/>
      </c>
      <c r="E364" t="str">
        <f t="shared" ca="1" si="5"/>
        <v/>
      </c>
      <c r="F364" t="str">
        <f ca="1">IF(E364="","",_xll.RiskWeibull($B$1,$B$2))</f>
        <v/>
      </c>
      <c r="G364" t="str">
        <f ca="1">IF(F364="","",$B$5+C364*$B$4-SUM($F$2:F364))</f>
        <v/>
      </c>
    </row>
    <row r="365" spans="4:7" x14ac:dyDescent="0.25">
      <c r="D365" t="str">
        <f ca="1">IF(SUM($D$2:D364)&gt;$B$4,"",D364+_xll.RiskExpon(1/$B$3))</f>
        <v/>
      </c>
      <c r="E365" t="str">
        <f t="shared" ca="1" si="5"/>
        <v/>
      </c>
      <c r="F365" t="str">
        <f ca="1">IF(E365="","",_xll.RiskWeibull($B$1,$B$2))</f>
        <v/>
      </c>
      <c r="G365" t="str">
        <f ca="1">IF(F365="","",$B$5+C365*$B$4-SUM($F$2:F365))</f>
        <v/>
      </c>
    </row>
    <row r="366" spans="4:7" x14ac:dyDescent="0.25">
      <c r="D366" t="str">
        <f ca="1">IF(SUM($D$2:D365)&gt;$B$4,"",D365+_xll.RiskExpon(1/$B$3))</f>
        <v/>
      </c>
      <c r="E366" t="str">
        <f t="shared" ca="1" si="5"/>
        <v/>
      </c>
      <c r="F366" t="str">
        <f ca="1">IF(E366="","",_xll.RiskWeibull($B$1,$B$2))</f>
        <v/>
      </c>
      <c r="G366" t="str">
        <f ca="1">IF(F366="","",$B$5+C366*$B$4-SUM($F$2:F366))</f>
        <v/>
      </c>
    </row>
    <row r="367" spans="4:7" x14ac:dyDescent="0.25">
      <c r="D367" t="str">
        <f ca="1">IF(SUM($D$2:D366)&gt;$B$4,"",D366+_xll.RiskExpon(1/$B$3))</f>
        <v/>
      </c>
      <c r="E367" t="str">
        <f t="shared" ca="1" si="5"/>
        <v/>
      </c>
      <c r="F367" t="str">
        <f ca="1">IF(E367="","",_xll.RiskWeibull($B$1,$B$2))</f>
        <v/>
      </c>
      <c r="G367" t="str">
        <f ca="1">IF(F367="","",$B$5+C367*$B$4-SUM($F$2:F367))</f>
        <v/>
      </c>
    </row>
    <row r="368" spans="4:7" x14ac:dyDescent="0.25">
      <c r="D368" t="str">
        <f ca="1">IF(SUM($D$2:D367)&gt;$B$4,"",D367+_xll.RiskExpon(1/$B$3))</f>
        <v/>
      </c>
      <c r="E368" t="str">
        <f t="shared" ca="1" si="5"/>
        <v/>
      </c>
      <c r="F368" t="str">
        <f ca="1">IF(E368="","",_xll.RiskWeibull($B$1,$B$2))</f>
        <v/>
      </c>
      <c r="G368" t="str">
        <f ca="1">IF(F368="","",$B$5+C368*$B$4-SUM($F$2:F368))</f>
        <v/>
      </c>
    </row>
    <row r="369" spans="4:7" x14ac:dyDescent="0.25">
      <c r="D369" t="str">
        <f ca="1">IF(SUM($D$2:D368)&gt;$B$4,"",D368+_xll.RiskExpon(1/$B$3))</f>
        <v/>
      </c>
      <c r="E369" t="str">
        <f t="shared" ca="1" si="5"/>
        <v/>
      </c>
      <c r="F369" t="str">
        <f ca="1">IF(E369="","",_xll.RiskWeibull($B$1,$B$2))</f>
        <v/>
      </c>
      <c r="G369" t="str">
        <f ca="1">IF(F369="","",$B$5+C369*$B$4-SUM($F$2:F369))</f>
        <v/>
      </c>
    </row>
    <row r="370" spans="4:7" x14ac:dyDescent="0.25">
      <c r="D370" t="str">
        <f ca="1">IF(SUM($D$2:D369)&gt;$B$4,"",D369+_xll.RiskExpon(1/$B$3))</f>
        <v/>
      </c>
      <c r="E370" t="str">
        <f t="shared" ca="1" si="5"/>
        <v/>
      </c>
      <c r="F370" t="str">
        <f ca="1">IF(E370="","",_xll.RiskWeibull($B$1,$B$2))</f>
        <v/>
      </c>
      <c r="G370" t="str">
        <f ca="1">IF(F370="","",$B$5+C370*$B$4-SUM($F$2:F370))</f>
        <v/>
      </c>
    </row>
    <row r="371" spans="4:7" x14ac:dyDescent="0.25">
      <c r="D371" t="str">
        <f ca="1">IF(SUM($D$2:D370)&gt;$B$4,"",D370+_xll.RiskExpon(1/$B$3))</f>
        <v/>
      </c>
      <c r="E371" t="str">
        <f t="shared" ca="1" si="5"/>
        <v/>
      </c>
      <c r="F371" t="str">
        <f ca="1">IF(E371="","",_xll.RiskWeibull($B$1,$B$2))</f>
        <v/>
      </c>
      <c r="G371" t="str">
        <f ca="1">IF(F371="","",$B$5+C371*$B$4-SUM($F$2:F371))</f>
        <v/>
      </c>
    </row>
    <row r="372" spans="4:7" x14ac:dyDescent="0.25">
      <c r="D372" t="str">
        <f ca="1">IF(SUM($D$2:D371)&gt;$B$4,"",D371+_xll.RiskExpon(1/$B$3))</f>
        <v/>
      </c>
      <c r="E372" t="str">
        <f t="shared" ca="1" si="5"/>
        <v/>
      </c>
      <c r="F372" t="str">
        <f ca="1">IF(E372="","",_xll.RiskWeibull($B$1,$B$2))</f>
        <v/>
      </c>
      <c r="G372" t="str">
        <f ca="1">IF(F372="","",$B$5+C372*$B$4-SUM($F$2:F372))</f>
        <v/>
      </c>
    </row>
    <row r="373" spans="4:7" x14ac:dyDescent="0.25">
      <c r="D373" t="str">
        <f ca="1">IF(SUM($D$2:D372)&gt;$B$4,"",D372+_xll.RiskExpon(1/$B$3))</f>
        <v/>
      </c>
      <c r="E373" t="str">
        <f t="shared" ca="1" si="5"/>
        <v/>
      </c>
      <c r="F373" t="str">
        <f ca="1">IF(E373="","",_xll.RiskWeibull($B$1,$B$2))</f>
        <v/>
      </c>
      <c r="G373" t="str">
        <f ca="1">IF(F373="","",$B$5+C373*$B$4-SUM($F$2:F373))</f>
        <v/>
      </c>
    </row>
    <row r="374" spans="4:7" x14ac:dyDescent="0.25">
      <c r="D374" t="str">
        <f ca="1">IF(SUM($D$2:D373)&gt;$B$4,"",D373+_xll.RiskExpon(1/$B$3))</f>
        <v/>
      </c>
      <c r="E374" t="str">
        <f t="shared" ca="1" si="5"/>
        <v/>
      </c>
      <c r="F374" t="str">
        <f ca="1">IF(E374="","",_xll.RiskWeibull($B$1,$B$2))</f>
        <v/>
      </c>
      <c r="G374" t="str">
        <f ca="1">IF(F374="","",$B$5+C374*$B$4-SUM($F$2:F374))</f>
        <v/>
      </c>
    </row>
    <row r="375" spans="4:7" x14ac:dyDescent="0.25">
      <c r="D375" t="str">
        <f ca="1">IF(SUM($D$2:D374)&gt;$B$4,"",D374+_xll.RiskExpon(1/$B$3))</f>
        <v/>
      </c>
      <c r="E375" t="str">
        <f t="shared" ca="1" si="5"/>
        <v/>
      </c>
      <c r="F375" t="str">
        <f ca="1">IF(E375="","",_xll.RiskWeibull($B$1,$B$2))</f>
        <v/>
      </c>
      <c r="G375" t="str">
        <f ca="1">IF(F375="","",$B$5+C375*$B$4-SUM($F$2:F375))</f>
        <v/>
      </c>
    </row>
    <row r="376" spans="4:7" x14ac:dyDescent="0.25">
      <c r="D376" t="str">
        <f ca="1">IF(SUM($D$2:D375)&gt;$B$4,"",D375+_xll.RiskExpon(1/$B$3))</f>
        <v/>
      </c>
      <c r="E376" t="str">
        <f t="shared" ca="1" si="5"/>
        <v/>
      </c>
      <c r="F376" t="str">
        <f ca="1">IF(E376="","",_xll.RiskWeibull($B$1,$B$2))</f>
        <v/>
      </c>
      <c r="G376" t="str">
        <f ca="1">IF(F376="","",$B$5+C376*$B$4-SUM($F$2:F376))</f>
        <v/>
      </c>
    </row>
    <row r="377" spans="4:7" x14ac:dyDescent="0.25">
      <c r="D377" t="str">
        <f ca="1">IF(SUM($D$2:D376)&gt;$B$4,"",D376+_xll.RiskExpon(1/$B$3))</f>
        <v/>
      </c>
      <c r="E377" t="str">
        <f t="shared" ca="1" si="5"/>
        <v/>
      </c>
      <c r="F377" t="str">
        <f ca="1">IF(E377="","",_xll.RiskWeibull($B$1,$B$2))</f>
        <v/>
      </c>
      <c r="G377" t="str">
        <f ca="1">IF(F377="","",$B$5+C377*$B$4-SUM($F$2:F377))</f>
        <v/>
      </c>
    </row>
    <row r="378" spans="4:7" x14ac:dyDescent="0.25">
      <c r="D378" t="str">
        <f ca="1">IF(SUM($D$2:D377)&gt;$B$4,"",D377+_xll.RiskExpon(1/$B$3))</f>
        <v/>
      </c>
      <c r="E378" t="str">
        <f t="shared" ca="1" si="5"/>
        <v/>
      </c>
      <c r="F378" t="str">
        <f ca="1">IF(E378="","",_xll.RiskWeibull($B$1,$B$2))</f>
        <v/>
      </c>
      <c r="G378" t="str">
        <f ca="1">IF(F378="","",$B$5+C378*$B$4-SUM($F$2:F378))</f>
        <v/>
      </c>
    </row>
    <row r="379" spans="4:7" x14ac:dyDescent="0.25">
      <c r="D379" t="str">
        <f ca="1">IF(SUM($D$2:D378)&gt;$B$4,"",D378+_xll.RiskExpon(1/$B$3))</f>
        <v/>
      </c>
      <c r="E379" t="str">
        <f t="shared" ca="1" si="5"/>
        <v/>
      </c>
      <c r="F379" t="str">
        <f ca="1">IF(E379="","",_xll.RiskWeibull($B$1,$B$2))</f>
        <v/>
      </c>
      <c r="G379" t="str">
        <f ca="1">IF(F379="","",$B$5+C379*$B$4-SUM($F$2:F379))</f>
        <v/>
      </c>
    </row>
    <row r="380" spans="4:7" x14ac:dyDescent="0.25">
      <c r="D380" t="str">
        <f ca="1">IF(SUM($D$2:D379)&gt;$B$4,"",D379+_xll.RiskExpon(1/$B$3))</f>
        <v/>
      </c>
      <c r="E380" t="str">
        <f t="shared" ca="1" si="5"/>
        <v/>
      </c>
      <c r="F380" t="str">
        <f ca="1">IF(E380="","",_xll.RiskWeibull($B$1,$B$2))</f>
        <v/>
      </c>
      <c r="G380" t="str">
        <f ca="1">IF(F380="","",$B$5+C380*$B$4-SUM($F$2:F380))</f>
        <v/>
      </c>
    </row>
    <row r="381" spans="4:7" x14ac:dyDescent="0.25">
      <c r="D381" t="str">
        <f ca="1">IF(SUM($D$2:D380)&gt;$B$4,"",D380+_xll.RiskExpon(1/$B$3))</f>
        <v/>
      </c>
      <c r="E381" t="str">
        <f t="shared" ca="1" si="5"/>
        <v/>
      </c>
      <c r="F381" t="str">
        <f ca="1">IF(E381="","",_xll.RiskWeibull($B$1,$B$2))</f>
        <v/>
      </c>
      <c r="G381" t="str">
        <f ca="1">IF(F381="","",$B$5+C381*$B$4-SUM($F$2:F381))</f>
        <v/>
      </c>
    </row>
    <row r="382" spans="4:7" x14ac:dyDescent="0.25">
      <c r="D382" t="str">
        <f ca="1">IF(SUM($D$2:D381)&gt;$B$4,"",D381+_xll.RiskExpon(1/$B$3))</f>
        <v/>
      </c>
      <c r="E382" t="str">
        <f t="shared" ca="1" si="5"/>
        <v/>
      </c>
      <c r="F382" t="str">
        <f ca="1">IF(E382="","",_xll.RiskWeibull($B$1,$B$2))</f>
        <v/>
      </c>
      <c r="G382" t="str">
        <f ca="1">IF(F382="","",$B$5+C382*$B$4-SUM($F$2:F382))</f>
        <v/>
      </c>
    </row>
    <row r="383" spans="4:7" x14ac:dyDescent="0.25">
      <c r="D383" t="str">
        <f ca="1">IF(SUM($D$2:D382)&gt;$B$4,"",D382+_xll.RiskExpon(1/$B$3))</f>
        <v/>
      </c>
      <c r="E383" t="str">
        <f t="shared" ca="1" si="5"/>
        <v/>
      </c>
      <c r="F383" t="str">
        <f ca="1">IF(E383="","",_xll.RiskWeibull($B$1,$B$2))</f>
        <v/>
      </c>
      <c r="G383" t="str">
        <f ca="1">IF(F383="","",$B$5+C383*$B$4-SUM($F$2:F383))</f>
        <v/>
      </c>
    </row>
    <row r="384" spans="4:7" x14ac:dyDescent="0.25">
      <c r="D384" t="str">
        <f ca="1">IF(SUM($D$2:D383)&gt;$B$4,"",D383+_xll.RiskExpon(1/$B$3))</f>
        <v/>
      </c>
      <c r="E384" t="str">
        <f t="shared" ca="1" si="5"/>
        <v/>
      </c>
      <c r="F384" t="str">
        <f ca="1">IF(E384="","",_xll.RiskWeibull($B$1,$B$2))</f>
        <v/>
      </c>
      <c r="G384" t="str">
        <f ca="1">IF(F384="","",$B$5+C384*$B$4-SUM($F$2:F384))</f>
        <v/>
      </c>
    </row>
    <row r="385" spans="4:7" x14ac:dyDescent="0.25">
      <c r="D385" t="str">
        <f ca="1">IF(SUM($D$2:D384)&gt;$B$4,"",D384+_xll.RiskExpon(1/$B$3))</f>
        <v/>
      </c>
      <c r="E385" t="str">
        <f t="shared" ca="1" si="5"/>
        <v/>
      </c>
      <c r="F385" t="str">
        <f ca="1">IF(E385="","",_xll.RiskWeibull($B$1,$B$2))</f>
        <v/>
      </c>
      <c r="G385" t="str">
        <f ca="1">IF(F385="","",$B$5+C385*$B$4-SUM($F$2:F385))</f>
        <v/>
      </c>
    </row>
    <row r="386" spans="4:7" x14ac:dyDescent="0.25">
      <c r="D386" t="str">
        <f ca="1">IF(SUM($D$2:D385)&gt;$B$4,"",D385+_xll.RiskExpon(1/$B$3))</f>
        <v/>
      </c>
      <c r="E386" t="str">
        <f t="shared" ca="1" si="5"/>
        <v/>
      </c>
      <c r="F386" t="str">
        <f ca="1">IF(E386="","",_xll.RiskWeibull($B$1,$B$2))</f>
        <v/>
      </c>
      <c r="G386" t="str">
        <f ca="1">IF(F386="","",$B$5+C386*$B$4-SUM($F$2:F386))</f>
        <v/>
      </c>
    </row>
    <row r="387" spans="4:7" x14ac:dyDescent="0.25">
      <c r="D387" t="str">
        <f ca="1">IF(SUM($D$2:D386)&gt;$B$4,"",D386+_xll.RiskExpon(1/$B$3))</f>
        <v/>
      </c>
      <c r="E387" t="str">
        <f t="shared" ca="1" si="5"/>
        <v/>
      </c>
      <c r="F387" t="str">
        <f ca="1">IF(E387="","",_xll.RiskWeibull($B$1,$B$2))</f>
        <v/>
      </c>
      <c r="G387" t="str">
        <f ca="1">IF(F387="","",$B$5+C387*$B$4-SUM($F$2:F387))</f>
        <v/>
      </c>
    </row>
    <row r="388" spans="4:7" x14ac:dyDescent="0.25">
      <c r="D388" t="str">
        <f ca="1">IF(SUM($D$2:D387)&gt;$B$4,"",D387+_xll.RiskExpon(1/$B$3))</f>
        <v/>
      </c>
      <c r="E388" t="str">
        <f t="shared" ref="E388:E451" ca="1" si="6">IF(E387&lt;$B$7,E387+1,"")</f>
        <v/>
      </c>
      <c r="F388" t="str">
        <f ca="1">IF(E388="","",_xll.RiskWeibull($B$1,$B$2))</f>
        <v/>
      </c>
      <c r="G388" t="str">
        <f ca="1">IF(F388="","",$B$5+C388*$B$4-SUM($F$2:F388))</f>
        <v/>
      </c>
    </row>
    <row r="389" spans="4:7" x14ac:dyDescent="0.25">
      <c r="D389" t="str">
        <f ca="1">IF(SUM($D$2:D388)&gt;$B$4,"",D388+_xll.RiskExpon(1/$B$3))</f>
        <v/>
      </c>
      <c r="E389" t="str">
        <f t="shared" ca="1" si="6"/>
        <v/>
      </c>
      <c r="F389" t="str">
        <f ca="1">IF(E389="","",_xll.RiskWeibull($B$1,$B$2))</f>
        <v/>
      </c>
      <c r="G389" t="str">
        <f ca="1">IF(F389="","",$B$5+C389*$B$4-SUM($F$2:F389))</f>
        <v/>
      </c>
    </row>
    <row r="390" spans="4:7" x14ac:dyDescent="0.25">
      <c r="D390" t="str">
        <f ca="1">IF(SUM($D$2:D389)&gt;$B$4,"",D389+_xll.RiskExpon(1/$B$3))</f>
        <v/>
      </c>
      <c r="E390" t="str">
        <f t="shared" ca="1" si="6"/>
        <v/>
      </c>
      <c r="F390" t="str">
        <f ca="1">IF(E390="","",_xll.RiskWeibull($B$1,$B$2))</f>
        <v/>
      </c>
      <c r="G390" t="str">
        <f ca="1">IF(F390="","",$B$5+C390*$B$4-SUM($F$2:F390))</f>
        <v/>
      </c>
    </row>
    <row r="391" spans="4:7" x14ac:dyDescent="0.25">
      <c r="D391" t="str">
        <f ca="1">IF(SUM($D$2:D390)&gt;$B$4,"",D390+_xll.RiskExpon(1/$B$3))</f>
        <v/>
      </c>
      <c r="E391" t="str">
        <f t="shared" ca="1" si="6"/>
        <v/>
      </c>
      <c r="F391" t="str">
        <f ca="1">IF(E391="","",_xll.RiskWeibull($B$1,$B$2))</f>
        <v/>
      </c>
      <c r="G391" t="str">
        <f ca="1">IF(F391="","",$B$5+C391*$B$4-SUM($F$2:F391))</f>
        <v/>
      </c>
    </row>
    <row r="392" spans="4:7" x14ac:dyDescent="0.25">
      <c r="D392" t="str">
        <f ca="1">IF(SUM($D$2:D391)&gt;$B$4,"",D391+_xll.RiskExpon(1/$B$3))</f>
        <v/>
      </c>
      <c r="E392" t="str">
        <f t="shared" ca="1" si="6"/>
        <v/>
      </c>
      <c r="F392" t="str">
        <f ca="1">IF(E392="","",_xll.RiskWeibull($B$1,$B$2))</f>
        <v/>
      </c>
      <c r="G392" t="str">
        <f ca="1">IF(F392="","",$B$5+C392*$B$4-SUM($F$2:F392))</f>
        <v/>
      </c>
    </row>
    <row r="393" spans="4:7" x14ac:dyDescent="0.25">
      <c r="D393" t="str">
        <f ca="1">IF(SUM($D$2:D392)&gt;$B$4,"",D392+_xll.RiskExpon(1/$B$3))</f>
        <v/>
      </c>
      <c r="E393" t="str">
        <f t="shared" ca="1" si="6"/>
        <v/>
      </c>
      <c r="F393" t="str">
        <f ca="1">IF(E393="","",_xll.RiskWeibull($B$1,$B$2))</f>
        <v/>
      </c>
      <c r="G393" t="str">
        <f ca="1">IF(F393="","",$B$5+C393*$B$4-SUM($F$2:F393))</f>
        <v/>
      </c>
    </row>
    <row r="394" spans="4:7" x14ac:dyDescent="0.25">
      <c r="D394" t="str">
        <f ca="1">IF(SUM($D$2:D393)&gt;$B$4,"",D393+_xll.RiskExpon(1/$B$3))</f>
        <v/>
      </c>
      <c r="E394" t="str">
        <f t="shared" ca="1" si="6"/>
        <v/>
      </c>
      <c r="F394" t="str">
        <f ca="1">IF(E394="","",_xll.RiskWeibull($B$1,$B$2))</f>
        <v/>
      </c>
      <c r="G394" t="str">
        <f ca="1">IF(F394="","",$B$5+C394*$B$4-SUM($F$2:F394))</f>
        <v/>
      </c>
    </row>
    <row r="395" spans="4:7" x14ac:dyDescent="0.25">
      <c r="D395" t="str">
        <f ca="1">IF(SUM($D$2:D394)&gt;$B$4,"",D394+_xll.RiskExpon(1/$B$3))</f>
        <v/>
      </c>
      <c r="E395" t="str">
        <f t="shared" ca="1" si="6"/>
        <v/>
      </c>
      <c r="F395" t="str">
        <f ca="1">IF(E395="","",_xll.RiskWeibull($B$1,$B$2))</f>
        <v/>
      </c>
      <c r="G395" t="str">
        <f ca="1">IF(F395="","",$B$5+C395*$B$4-SUM($F$2:F395))</f>
        <v/>
      </c>
    </row>
    <row r="396" spans="4:7" x14ac:dyDescent="0.25">
      <c r="D396" t="str">
        <f ca="1">IF(SUM($D$2:D395)&gt;$B$4,"",D395+_xll.RiskExpon(1/$B$3))</f>
        <v/>
      </c>
      <c r="E396" t="str">
        <f t="shared" ca="1" si="6"/>
        <v/>
      </c>
      <c r="F396" t="str">
        <f ca="1">IF(E396="","",_xll.RiskWeibull($B$1,$B$2))</f>
        <v/>
      </c>
      <c r="G396" t="str">
        <f ca="1">IF(F396="","",$B$5+C396*$B$4-SUM($F$2:F396))</f>
        <v/>
      </c>
    </row>
    <row r="397" spans="4:7" x14ac:dyDescent="0.25">
      <c r="D397" t="str">
        <f ca="1">IF(SUM($D$2:D396)&gt;$B$4,"",D396+_xll.RiskExpon(1/$B$3))</f>
        <v/>
      </c>
      <c r="E397" t="str">
        <f t="shared" ca="1" si="6"/>
        <v/>
      </c>
      <c r="F397" t="str">
        <f ca="1">IF(E397="","",_xll.RiskWeibull($B$1,$B$2))</f>
        <v/>
      </c>
      <c r="G397" t="str">
        <f ca="1">IF(F397="","",$B$5+C397*$B$4-SUM($F$2:F397))</f>
        <v/>
      </c>
    </row>
    <row r="398" spans="4:7" x14ac:dyDescent="0.25">
      <c r="D398" t="str">
        <f ca="1">IF(SUM($D$2:D397)&gt;$B$4,"",D397+_xll.RiskExpon(1/$B$3))</f>
        <v/>
      </c>
      <c r="E398" t="str">
        <f t="shared" ca="1" si="6"/>
        <v/>
      </c>
      <c r="F398" t="str">
        <f ca="1">IF(E398="","",_xll.RiskWeibull($B$1,$B$2))</f>
        <v/>
      </c>
      <c r="G398" t="str">
        <f ca="1">IF(F398="","",$B$5+C398*$B$4-SUM($F$2:F398))</f>
        <v/>
      </c>
    </row>
    <row r="399" spans="4:7" x14ac:dyDescent="0.25">
      <c r="D399" t="str">
        <f ca="1">IF(SUM($D$2:D398)&gt;$B$4,"",D398+_xll.RiskExpon(1/$B$3))</f>
        <v/>
      </c>
      <c r="E399" t="str">
        <f t="shared" ca="1" si="6"/>
        <v/>
      </c>
      <c r="F399" t="str">
        <f ca="1">IF(E399="","",_xll.RiskWeibull($B$1,$B$2))</f>
        <v/>
      </c>
      <c r="G399" t="str">
        <f ca="1">IF(F399="","",$B$5+C399*$B$4-SUM($F$2:F399))</f>
        <v/>
      </c>
    </row>
    <row r="400" spans="4:7" x14ac:dyDescent="0.25">
      <c r="D400" t="str">
        <f ca="1">IF(SUM($D$2:D399)&gt;$B$4,"",D399+_xll.RiskExpon(1/$B$3))</f>
        <v/>
      </c>
      <c r="E400" t="str">
        <f t="shared" ca="1" si="6"/>
        <v/>
      </c>
      <c r="F400" t="str">
        <f ca="1">IF(E400="","",_xll.RiskWeibull($B$1,$B$2))</f>
        <v/>
      </c>
      <c r="G400" t="str">
        <f ca="1">IF(F400="","",$B$5+C400*$B$4-SUM($F$2:F400))</f>
        <v/>
      </c>
    </row>
    <row r="401" spans="4:7" x14ac:dyDescent="0.25">
      <c r="D401" t="str">
        <f ca="1">IF(SUM($D$2:D400)&gt;$B$4,"",D400+_xll.RiskExpon(1/$B$3))</f>
        <v/>
      </c>
      <c r="E401" t="str">
        <f t="shared" ca="1" si="6"/>
        <v/>
      </c>
      <c r="F401" t="str">
        <f ca="1">IF(E401="","",_xll.RiskWeibull($B$1,$B$2))</f>
        <v/>
      </c>
      <c r="G401" t="str">
        <f ca="1">IF(F401="","",$B$5+C401*$B$4-SUM($F$2:F401))</f>
        <v/>
      </c>
    </row>
    <row r="402" spans="4:7" x14ac:dyDescent="0.25">
      <c r="D402" t="str">
        <f ca="1">IF(SUM($D$2:D401)&gt;$B$4,"",D401+_xll.RiskExpon(1/$B$3))</f>
        <v/>
      </c>
      <c r="E402" t="str">
        <f t="shared" ca="1" si="6"/>
        <v/>
      </c>
      <c r="F402" t="str">
        <f ca="1">IF(E402="","",_xll.RiskWeibull($B$1,$B$2))</f>
        <v/>
      </c>
      <c r="G402" t="str">
        <f ca="1">IF(F402="","",$B$5+C402*$B$4-SUM($F$2:F402))</f>
        <v/>
      </c>
    </row>
    <row r="403" spans="4:7" x14ac:dyDescent="0.25">
      <c r="D403" t="str">
        <f ca="1">IF(SUM($D$2:D402)&gt;$B$4,"",D402+_xll.RiskExpon(1/$B$3))</f>
        <v/>
      </c>
      <c r="E403" t="str">
        <f t="shared" ca="1" si="6"/>
        <v/>
      </c>
      <c r="F403" t="str">
        <f ca="1">IF(E403="","",_xll.RiskWeibull($B$1,$B$2))</f>
        <v/>
      </c>
      <c r="G403" t="str">
        <f ca="1">IF(F403="","",$B$5+C403*$B$4-SUM($F$2:F403))</f>
        <v/>
      </c>
    </row>
    <row r="404" spans="4:7" x14ac:dyDescent="0.25">
      <c r="D404" t="str">
        <f ca="1">IF(SUM($D$2:D403)&gt;$B$4,"",D403+_xll.RiskExpon(1/$B$3))</f>
        <v/>
      </c>
      <c r="E404" t="str">
        <f t="shared" ca="1" si="6"/>
        <v/>
      </c>
      <c r="F404" t="str">
        <f ca="1">IF(E404="","",_xll.RiskWeibull($B$1,$B$2))</f>
        <v/>
      </c>
      <c r="G404" t="str">
        <f ca="1">IF(F404="","",$B$5+C404*$B$4-SUM($F$2:F404))</f>
        <v/>
      </c>
    </row>
    <row r="405" spans="4:7" x14ac:dyDescent="0.25">
      <c r="D405" t="str">
        <f ca="1">IF(SUM($D$2:D404)&gt;$B$4,"",D404+_xll.RiskExpon(1/$B$3))</f>
        <v/>
      </c>
      <c r="E405" t="str">
        <f t="shared" ca="1" si="6"/>
        <v/>
      </c>
      <c r="F405" t="str">
        <f ca="1">IF(E405="","",_xll.RiskWeibull($B$1,$B$2))</f>
        <v/>
      </c>
      <c r="G405" t="str">
        <f ca="1">IF(F405="","",$B$5+C405*$B$4-SUM($F$2:F405))</f>
        <v/>
      </c>
    </row>
    <row r="406" spans="4:7" x14ac:dyDescent="0.25">
      <c r="D406" t="str">
        <f ca="1">IF(SUM($D$2:D405)&gt;$B$4,"",D405+_xll.RiskExpon(1/$B$3))</f>
        <v/>
      </c>
      <c r="E406" t="str">
        <f t="shared" ca="1" si="6"/>
        <v/>
      </c>
      <c r="F406" t="str">
        <f ca="1">IF(E406="","",_xll.RiskWeibull($B$1,$B$2))</f>
        <v/>
      </c>
      <c r="G406" t="str">
        <f ca="1">IF(F406="","",$B$5+C406*$B$4-SUM($F$2:F406))</f>
        <v/>
      </c>
    </row>
    <row r="407" spans="4:7" x14ac:dyDescent="0.25">
      <c r="D407" t="str">
        <f ca="1">IF(SUM($D$2:D406)&gt;$B$4,"",D406+_xll.RiskExpon(1/$B$3))</f>
        <v/>
      </c>
      <c r="E407" t="str">
        <f t="shared" ca="1" si="6"/>
        <v/>
      </c>
      <c r="F407" t="str">
        <f ca="1">IF(E407="","",_xll.RiskWeibull($B$1,$B$2))</f>
        <v/>
      </c>
      <c r="G407" t="str">
        <f ca="1">IF(F407="","",$B$5+C407*$B$4-SUM($F$2:F407))</f>
        <v/>
      </c>
    </row>
    <row r="408" spans="4:7" x14ac:dyDescent="0.25">
      <c r="D408" t="str">
        <f ca="1">IF(SUM($D$2:D407)&gt;$B$4,"",D407+_xll.RiskExpon(1/$B$3))</f>
        <v/>
      </c>
      <c r="E408" t="str">
        <f t="shared" ca="1" si="6"/>
        <v/>
      </c>
      <c r="F408" t="str">
        <f ca="1">IF(E408="","",_xll.RiskWeibull($B$1,$B$2))</f>
        <v/>
      </c>
      <c r="G408" t="str">
        <f ca="1">IF(F408="","",$B$5+C408*$B$4-SUM($F$2:F408))</f>
        <v/>
      </c>
    </row>
    <row r="409" spans="4:7" x14ac:dyDescent="0.25">
      <c r="D409" t="str">
        <f ca="1">IF(SUM($D$2:D408)&gt;$B$4,"",D408+_xll.RiskExpon(1/$B$3))</f>
        <v/>
      </c>
      <c r="E409" t="str">
        <f t="shared" ca="1" si="6"/>
        <v/>
      </c>
      <c r="F409" t="str">
        <f ca="1">IF(E409="","",_xll.RiskWeibull($B$1,$B$2))</f>
        <v/>
      </c>
      <c r="G409" t="str">
        <f ca="1">IF(F409="","",$B$5+C409*$B$4-SUM($F$2:F409))</f>
        <v/>
      </c>
    </row>
    <row r="410" spans="4:7" x14ac:dyDescent="0.25">
      <c r="D410" t="str">
        <f ca="1">IF(SUM($D$2:D409)&gt;$B$4,"",D409+_xll.RiskExpon(1/$B$3))</f>
        <v/>
      </c>
      <c r="E410" t="str">
        <f t="shared" ca="1" si="6"/>
        <v/>
      </c>
      <c r="F410" t="str">
        <f ca="1">IF(E410="","",_xll.RiskWeibull($B$1,$B$2))</f>
        <v/>
      </c>
      <c r="G410" t="str">
        <f ca="1">IF(F410="","",$B$5+C410*$B$4-SUM($F$2:F410))</f>
        <v/>
      </c>
    </row>
    <row r="411" spans="4:7" x14ac:dyDescent="0.25">
      <c r="D411" t="str">
        <f ca="1">IF(SUM($D$2:D410)&gt;$B$4,"",D410+_xll.RiskExpon(1/$B$3))</f>
        <v/>
      </c>
      <c r="E411" t="str">
        <f t="shared" ca="1" si="6"/>
        <v/>
      </c>
      <c r="F411" t="str">
        <f ca="1">IF(E411="","",_xll.RiskWeibull($B$1,$B$2))</f>
        <v/>
      </c>
      <c r="G411" t="str">
        <f ca="1">IF(F411="","",$B$5+C411*$B$4-SUM($F$2:F411))</f>
        <v/>
      </c>
    </row>
    <row r="412" spans="4:7" x14ac:dyDescent="0.25">
      <c r="D412" t="str">
        <f ca="1">IF(SUM($D$2:D411)&gt;$B$4,"",D411+_xll.RiskExpon(1/$B$3))</f>
        <v/>
      </c>
      <c r="E412" t="str">
        <f t="shared" ca="1" si="6"/>
        <v/>
      </c>
      <c r="F412" t="str">
        <f ca="1">IF(E412="","",_xll.RiskWeibull($B$1,$B$2))</f>
        <v/>
      </c>
      <c r="G412" t="str">
        <f ca="1">IF(F412="","",$B$5+C412*$B$4-SUM($F$2:F412))</f>
        <v/>
      </c>
    </row>
    <row r="413" spans="4:7" x14ac:dyDescent="0.25">
      <c r="D413" t="str">
        <f ca="1">IF(SUM($D$2:D412)&gt;$B$4,"",D412+_xll.RiskExpon(1/$B$3))</f>
        <v/>
      </c>
      <c r="E413" t="str">
        <f t="shared" ca="1" si="6"/>
        <v/>
      </c>
      <c r="F413" t="str">
        <f ca="1">IF(E413="","",_xll.RiskWeibull($B$1,$B$2))</f>
        <v/>
      </c>
      <c r="G413" t="str">
        <f ca="1">IF(F413="","",$B$5+C413*$B$4-SUM($F$2:F413))</f>
        <v/>
      </c>
    </row>
    <row r="414" spans="4:7" x14ac:dyDescent="0.25">
      <c r="D414" t="str">
        <f ca="1">IF(SUM($D$2:D413)&gt;$B$4,"",D413+_xll.RiskExpon(1/$B$3))</f>
        <v/>
      </c>
      <c r="E414" t="str">
        <f t="shared" ca="1" si="6"/>
        <v/>
      </c>
      <c r="F414" t="str">
        <f ca="1">IF(E414="","",_xll.RiskWeibull($B$1,$B$2))</f>
        <v/>
      </c>
      <c r="G414" t="str">
        <f ca="1">IF(F414="","",$B$5+C414*$B$4-SUM($F$2:F414))</f>
        <v/>
      </c>
    </row>
    <row r="415" spans="4:7" x14ac:dyDescent="0.25">
      <c r="D415" t="str">
        <f ca="1">IF(SUM($D$2:D414)&gt;$B$4,"",D414+_xll.RiskExpon(1/$B$3))</f>
        <v/>
      </c>
      <c r="E415" t="str">
        <f t="shared" ca="1" si="6"/>
        <v/>
      </c>
      <c r="F415" t="str">
        <f ca="1">IF(E415="","",_xll.RiskWeibull($B$1,$B$2))</f>
        <v/>
      </c>
      <c r="G415" t="str">
        <f ca="1">IF(F415="","",$B$5+C415*$B$4-SUM($F$2:F415))</f>
        <v/>
      </c>
    </row>
    <row r="416" spans="4:7" x14ac:dyDescent="0.25">
      <c r="D416" t="str">
        <f ca="1">IF(SUM($D$2:D415)&gt;$B$4,"",D415+_xll.RiskExpon(1/$B$3))</f>
        <v/>
      </c>
      <c r="E416" t="str">
        <f t="shared" ca="1" si="6"/>
        <v/>
      </c>
      <c r="F416" t="str">
        <f ca="1">IF(E416="","",_xll.RiskWeibull($B$1,$B$2))</f>
        <v/>
      </c>
      <c r="G416" t="str">
        <f ca="1">IF(F416="","",$B$5+C416*$B$4-SUM($F$2:F416))</f>
        <v/>
      </c>
    </row>
    <row r="417" spans="4:7" x14ac:dyDescent="0.25">
      <c r="D417" t="str">
        <f ca="1">IF(SUM($D$2:D416)&gt;$B$4,"",D416+_xll.RiskExpon(1/$B$3))</f>
        <v/>
      </c>
      <c r="E417" t="str">
        <f t="shared" ca="1" si="6"/>
        <v/>
      </c>
      <c r="F417" t="str">
        <f ca="1">IF(E417="","",_xll.RiskWeibull($B$1,$B$2))</f>
        <v/>
      </c>
      <c r="G417" t="str">
        <f ca="1">IF(F417="","",$B$5+C417*$B$4-SUM($F$2:F417))</f>
        <v/>
      </c>
    </row>
    <row r="418" spans="4:7" x14ac:dyDescent="0.25">
      <c r="D418" t="str">
        <f ca="1">IF(SUM($D$2:D417)&gt;$B$4,"",D417+_xll.RiskExpon(1/$B$3))</f>
        <v/>
      </c>
      <c r="E418" t="str">
        <f t="shared" ca="1" si="6"/>
        <v/>
      </c>
      <c r="F418" t="str">
        <f ca="1">IF(E418="","",_xll.RiskWeibull($B$1,$B$2))</f>
        <v/>
      </c>
      <c r="G418" t="str">
        <f ca="1">IF(F418="","",$B$5+C418*$B$4-SUM($F$2:F418))</f>
        <v/>
      </c>
    </row>
    <row r="419" spans="4:7" x14ac:dyDescent="0.25">
      <c r="D419" t="str">
        <f ca="1">IF(SUM($D$2:D418)&gt;$B$4,"",D418+_xll.RiskExpon(1/$B$3))</f>
        <v/>
      </c>
      <c r="E419" t="str">
        <f t="shared" ca="1" si="6"/>
        <v/>
      </c>
      <c r="F419" t="str">
        <f ca="1">IF(E419="","",_xll.RiskWeibull($B$1,$B$2))</f>
        <v/>
      </c>
      <c r="G419" t="str">
        <f ca="1">IF(F419="","",$B$5+C419*$B$4-SUM($F$2:F419))</f>
        <v/>
      </c>
    </row>
    <row r="420" spans="4:7" x14ac:dyDescent="0.25">
      <c r="D420" t="str">
        <f ca="1">IF(SUM($D$2:D419)&gt;$B$4,"",D419+_xll.RiskExpon(1/$B$3))</f>
        <v/>
      </c>
      <c r="E420" t="str">
        <f t="shared" ca="1" si="6"/>
        <v/>
      </c>
      <c r="F420" t="str">
        <f ca="1">IF(E420="","",_xll.RiskWeibull($B$1,$B$2))</f>
        <v/>
      </c>
      <c r="G420" t="str">
        <f ca="1">IF(F420="","",$B$5+C420*$B$4-SUM($F$2:F420))</f>
        <v/>
      </c>
    </row>
    <row r="421" spans="4:7" x14ac:dyDescent="0.25">
      <c r="D421" t="str">
        <f ca="1">IF(SUM($D$2:D420)&gt;$B$4,"",D420+_xll.RiskExpon(1/$B$3))</f>
        <v/>
      </c>
      <c r="E421" t="str">
        <f t="shared" ca="1" si="6"/>
        <v/>
      </c>
      <c r="F421" t="str">
        <f ca="1">IF(E421="","",_xll.RiskWeibull($B$1,$B$2))</f>
        <v/>
      </c>
      <c r="G421" t="str">
        <f ca="1">IF(F421="","",$B$5+C421*$B$4-SUM($F$2:F421))</f>
        <v/>
      </c>
    </row>
    <row r="422" spans="4:7" x14ac:dyDescent="0.25">
      <c r="D422" t="str">
        <f ca="1">IF(SUM($D$2:D421)&gt;$B$4,"",D421+_xll.RiskExpon(1/$B$3))</f>
        <v/>
      </c>
      <c r="E422" t="str">
        <f t="shared" ca="1" si="6"/>
        <v/>
      </c>
      <c r="F422" t="str">
        <f ca="1">IF(E422="","",_xll.RiskWeibull($B$1,$B$2))</f>
        <v/>
      </c>
      <c r="G422" t="str">
        <f ca="1">IF(F422="","",$B$5+C422*$B$4-SUM($F$2:F422))</f>
        <v/>
      </c>
    </row>
    <row r="423" spans="4:7" x14ac:dyDescent="0.25">
      <c r="D423" t="str">
        <f ca="1">IF(SUM($D$2:D422)&gt;$B$4,"",D422+_xll.RiskExpon(1/$B$3))</f>
        <v/>
      </c>
      <c r="E423" t="str">
        <f t="shared" ca="1" si="6"/>
        <v/>
      </c>
      <c r="F423" t="str">
        <f ca="1">IF(E423="","",_xll.RiskWeibull($B$1,$B$2))</f>
        <v/>
      </c>
      <c r="G423" t="str">
        <f ca="1">IF(F423="","",$B$5+C423*$B$4-SUM($F$2:F423))</f>
        <v/>
      </c>
    </row>
    <row r="424" spans="4:7" x14ac:dyDescent="0.25">
      <c r="D424" t="str">
        <f ca="1">IF(SUM($D$2:D423)&gt;$B$4,"",D423+_xll.RiskExpon(1/$B$3))</f>
        <v/>
      </c>
      <c r="E424" t="str">
        <f t="shared" ca="1" si="6"/>
        <v/>
      </c>
      <c r="F424" t="str">
        <f ca="1">IF(E424="","",_xll.RiskWeibull($B$1,$B$2))</f>
        <v/>
      </c>
      <c r="G424" t="str">
        <f ca="1">IF(F424="","",$B$5+C424*$B$4-SUM($F$2:F424))</f>
        <v/>
      </c>
    </row>
    <row r="425" spans="4:7" x14ac:dyDescent="0.25">
      <c r="D425" t="str">
        <f ca="1">IF(SUM($D$2:D424)&gt;$B$4,"",D424+_xll.RiskExpon(1/$B$3))</f>
        <v/>
      </c>
      <c r="E425" t="str">
        <f t="shared" ca="1" si="6"/>
        <v/>
      </c>
      <c r="F425" t="str">
        <f ca="1">IF(E425="","",_xll.RiskWeibull($B$1,$B$2))</f>
        <v/>
      </c>
      <c r="G425" t="str">
        <f ca="1">IF(F425="","",$B$5+C425*$B$4-SUM($F$2:F425))</f>
        <v/>
      </c>
    </row>
    <row r="426" spans="4:7" x14ac:dyDescent="0.25">
      <c r="D426" t="str">
        <f ca="1">IF(SUM($D$2:D425)&gt;$B$4,"",D425+_xll.RiskExpon(1/$B$3))</f>
        <v/>
      </c>
      <c r="E426" t="str">
        <f t="shared" ca="1" si="6"/>
        <v/>
      </c>
      <c r="F426" t="str">
        <f ca="1">IF(E426="","",_xll.RiskWeibull($B$1,$B$2))</f>
        <v/>
      </c>
      <c r="G426" t="str">
        <f ca="1">IF(F426="","",$B$5+C426*$B$4-SUM($F$2:F426))</f>
        <v/>
      </c>
    </row>
    <row r="427" spans="4:7" x14ac:dyDescent="0.25">
      <c r="D427" t="str">
        <f ca="1">IF(SUM($D$2:D426)&gt;$B$4,"",D426+_xll.RiskExpon(1/$B$3))</f>
        <v/>
      </c>
      <c r="E427" t="str">
        <f t="shared" ca="1" si="6"/>
        <v/>
      </c>
      <c r="F427" t="str">
        <f ca="1">IF(E427="","",_xll.RiskWeibull($B$1,$B$2))</f>
        <v/>
      </c>
      <c r="G427" t="str">
        <f ca="1">IF(F427="","",$B$5+C427*$B$4-SUM($F$2:F427))</f>
        <v/>
      </c>
    </row>
    <row r="428" spans="4:7" x14ac:dyDescent="0.25">
      <c r="D428" t="str">
        <f ca="1">IF(SUM($D$2:D427)&gt;$B$4,"",D427+_xll.RiskExpon(1/$B$3))</f>
        <v/>
      </c>
      <c r="E428" t="str">
        <f t="shared" ca="1" si="6"/>
        <v/>
      </c>
      <c r="F428" t="str">
        <f ca="1">IF(E428="","",_xll.RiskWeibull($B$1,$B$2))</f>
        <v/>
      </c>
      <c r="G428" t="str">
        <f ca="1">IF(F428="","",$B$5+C428*$B$4-SUM($F$2:F428))</f>
        <v/>
      </c>
    </row>
    <row r="429" spans="4:7" x14ac:dyDescent="0.25">
      <c r="D429" t="str">
        <f ca="1">IF(SUM($D$2:D428)&gt;$B$4,"",D428+_xll.RiskExpon(1/$B$3))</f>
        <v/>
      </c>
      <c r="E429" t="str">
        <f t="shared" ca="1" si="6"/>
        <v/>
      </c>
      <c r="F429" t="str">
        <f ca="1">IF(E429="","",_xll.RiskWeibull($B$1,$B$2))</f>
        <v/>
      </c>
      <c r="G429" t="str">
        <f ca="1">IF(F429="","",$B$5+C429*$B$4-SUM($F$2:F429))</f>
        <v/>
      </c>
    </row>
    <row r="430" spans="4:7" x14ac:dyDescent="0.25">
      <c r="D430" t="str">
        <f ca="1">IF(SUM($D$2:D429)&gt;$B$4,"",D429+_xll.RiskExpon(1/$B$3))</f>
        <v/>
      </c>
      <c r="E430" t="str">
        <f t="shared" ca="1" si="6"/>
        <v/>
      </c>
      <c r="F430" t="str">
        <f ca="1">IF(E430="","",_xll.RiskWeibull($B$1,$B$2))</f>
        <v/>
      </c>
      <c r="G430" t="str">
        <f ca="1">IF(F430="","",$B$5+C430*$B$4-SUM($F$2:F430))</f>
        <v/>
      </c>
    </row>
    <row r="431" spans="4:7" x14ac:dyDescent="0.25">
      <c r="D431" t="str">
        <f ca="1">IF(SUM($D$2:D430)&gt;$B$4,"",D430+_xll.RiskExpon(1/$B$3))</f>
        <v/>
      </c>
      <c r="E431" t="str">
        <f t="shared" ca="1" si="6"/>
        <v/>
      </c>
      <c r="F431" t="str">
        <f ca="1">IF(E431="","",_xll.RiskWeibull($B$1,$B$2))</f>
        <v/>
      </c>
      <c r="G431" t="str">
        <f ca="1">IF(F431="","",$B$5+C431*$B$4-SUM($F$2:F431))</f>
        <v/>
      </c>
    </row>
    <row r="432" spans="4:7" x14ac:dyDescent="0.25">
      <c r="D432" t="str">
        <f ca="1">IF(SUM($D$2:D431)&gt;$B$4,"",D431+_xll.RiskExpon(1/$B$3))</f>
        <v/>
      </c>
      <c r="E432" t="str">
        <f t="shared" ca="1" si="6"/>
        <v/>
      </c>
      <c r="F432" t="str">
        <f ca="1">IF(E432="","",_xll.RiskWeibull($B$1,$B$2))</f>
        <v/>
      </c>
      <c r="G432" t="str">
        <f ca="1">IF(F432="","",$B$5+C432*$B$4-SUM($F$2:F432))</f>
        <v/>
      </c>
    </row>
    <row r="433" spans="4:7" x14ac:dyDescent="0.25">
      <c r="D433" t="str">
        <f ca="1">IF(SUM($D$2:D432)&gt;$B$4,"",D432+_xll.RiskExpon(1/$B$3))</f>
        <v/>
      </c>
      <c r="E433" t="str">
        <f t="shared" ca="1" si="6"/>
        <v/>
      </c>
      <c r="F433" t="str">
        <f ca="1">IF(E433="","",_xll.RiskWeibull($B$1,$B$2))</f>
        <v/>
      </c>
      <c r="G433" t="str">
        <f ca="1">IF(F433="","",$B$5+C433*$B$4-SUM($F$2:F433))</f>
        <v/>
      </c>
    </row>
    <row r="434" spans="4:7" x14ac:dyDescent="0.25">
      <c r="D434" t="str">
        <f ca="1">IF(SUM($D$2:D433)&gt;$B$4,"",D433+_xll.RiskExpon(1/$B$3))</f>
        <v/>
      </c>
      <c r="E434" t="str">
        <f t="shared" ca="1" si="6"/>
        <v/>
      </c>
      <c r="F434" t="str">
        <f ca="1">IF(E434="","",_xll.RiskWeibull($B$1,$B$2))</f>
        <v/>
      </c>
      <c r="G434" t="str">
        <f ca="1">IF(F434="","",$B$5+C434*$B$4-SUM($F$2:F434))</f>
        <v/>
      </c>
    </row>
    <row r="435" spans="4:7" x14ac:dyDescent="0.25">
      <c r="D435" t="str">
        <f ca="1">IF(SUM($D$2:D434)&gt;$B$4,"",D434+_xll.RiskExpon(1/$B$3))</f>
        <v/>
      </c>
      <c r="E435" t="str">
        <f t="shared" ca="1" si="6"/>
        <v/>
      </c>
      <c r="F435" t="str">
        <f ca="1">IF(E435="","",_xll.RiskWeibull($B$1,$B$2))</f>
        <v/>
      </c>
      <c r="G435" t="str">
        <f ca="1">IF(F435="","",$B$5+C435*$B$4-SUM($F$2:F435))</f>
        <v/>
      </c>
    </row>
    <row r="436" spans="4:7" x14ac:dyDescent="0.25">
      <c r="D436" t="str">
        <f ca="1">IF(SUM($D$2:D435)&gt;$B$4,"",D435+_xll.RiskExpon(1/$B$3))</f>
        <v/>
      </c>
      <c r="E436" t="str">
        <f t="shared" ca="1" si="6"/>
        <v/>
      </c>
      <c r="F436" t="str">
        <f ca="1">IF(E436="","",_xll.RiskWeibull($B$1,$B$2))</f>
        <v/>
      </c>
      <c r="G436" t="str">
        <f ca="1">IF(F436="","",$B$5+C436*$B$4-SUM($F$2:F436))</f>
        <v/>
      </c>
    </row>
    <row r="437" spans="4:7" x14ac:dyDescent="0.25">
      <c r="D437" t="str">
        <f ca="1">IF(SUM($D$2:D436)&gt;$B$4,"",D436+_xll.RiskExpon(1/$B$3))</f>
        <v/>
      </c>
      <c r="E437" t="str">
        <f t="shared" ca="1" si="6"/>
        <v/>
      </c>
      <c r="F437" t="str">
        <f ca="1">IF(E437="","",_xll.RiskWeibull($B$1,$B$2))</f>
        <v/>
      </c>
      <c r="G437" t="str">
        <f ca="1">IF(F437="","",$B$5+C437*$B$4-SUM($F$2:F437))</f>
        <v/>
      </c>
    </row>
    <row r="438" spans="4:7" x14ac:dyDescent="0.25">
      <c r="D438" t="str">
        <f ca="1">IF(SUM($D$2:D437)&gt;$B$4,"",D437+_xll.RiskExpon(1/$B$3))</f>
        <v/>
      </c>
      <c r="E438" t="str">
        <f t="shared" ca="1" si="6"/>
        <v/>
      </c>
      <c r="F438" t="str">
        <f ca="1">IF(E438="","",_xll.RiskWeibull($B$1,$B$2))</f>
        <v/>
      </c>
      <c r="G438" t="str">
        <f ca="1">IF(F438="","",$B$5+C438*$B$4-SUM($F$2:F438))</f>
        <v/>
      </c>
    </row>
    <row r="439" spans="4:7" x14ac:dyDescent="0.25">
      <c r="D439" t="str">
        <f ca="1">IF(SUM($D$2:D438)&gt;$B$4,"",D438+_xll.RiskExpon(1/$B$3))</f>
        <v/>
      </c>
      <c r="E439" t="str">
        <f t="shared" ca="1" si="6"/>
        <v/>
      </c>
      <c r="F439" t="str">
        <f ca="1">IF(E439="","",_xll.RiskWeibull($B$1,$B$2))</f>
        <v/>
      </c>
      <c r="G439" t="str">
        <f ca="1">IF(F439="","",$B$5+C439*$B$4-SUM($F$2:F439))</f>
        <v/>
      </c>
    </row>
    <row r="440" spans="4:7" x14ac:dyDescent="0.25">
      <c r="D440" t="str">
        <f ca="1">IF(SUM($D$2:D439)&gt;$B$4,"",D439+_xll.RiskExpon(1/$B$3))</f>
        <v/>
      </c>
      <c r="E440" t="str">
        <f t="shared" ca="1" si="6"/>
        <v/>
      </c>
      <c r="F440" t="str">
        <f ca="1">IF(E440="","",_xll.RiskWeibull($B$1,$B$2))</f>
        <v/>
      </c>
      <c r="G440" t="str">
        <f ca="1">IF(F440="","",$B$5+C440*$B$4-SUM($F$2:F440))</f>
        <v/>
      </c>
    </row>
    <row r="441" spans="4:7" x14ac:dyDescent="0.25">
      <c r="D441" t="str">
        <f ca="1">IF(SUM($D$2:D440)&gt;$B$4,"",D440+_xll.RiskExpon(1/$B$3))</f>
        <v/>
      </c>
      <c r="E441" t="str">
        <f t="shared" ca="1" si="6"/>
        <v/>
      </c>
      <c r="F441" t="str">
        <f ca="1">IF(E441="","",_xll.RiskWeibull($B$1,$B$2))</f>
        <v/>
      </c>
      <c r="G441" t="str">
        <f ca="1">IF(F441="","",$B$5+C441*$B$4-SUM($F$2:F441))</f>
        <v/>
      </c>
    </row>
    <row r="442" spans="4:7" x14ac:dyDescent="0.25">
      <c r="D442" t="str">
        <f ca="1">IF(SUM($D$2:D441)&gt;$B$4,"",D441+_xll.RiskExpon(1/$B$3))</f>
        <v/>
      </c>
      <c r="E442" t="str">
        <f t="shared" ca="1" si="6"/>
        <v/>
      </c>
      <c r="F442" t="str">
        <f ca="1">IF(E442="","",_xll.RiskWeibull($B$1,$B$2))</f>
        <v/>
      </c>
      <c r="G442" t="str">
        <f ca="1">IF(F442="","",$B$5+C442*$B$4-SUM($F$2:F442))</f>
        <v/>
      </c>
    </row>
    <row r="443" spans="4:7" x14ac:dyDescent="0.25">
      <c r="D443" t="str">
        <f ca="1">IF(SUM($D$2:D442)&gt;$B$4,"",D442+_xll.RiskExpon(1/$B$3))</f>
        <v/>
      </c>
      <c r="E443" t="str">
        <f t="shared" ca="1" si="6"/>
        <v/>
      </c>
      <c r="F443" t="str">
        <f ca="1">IF(E443="","",_xll.RiskWeibull($B$1,$B$2))</f>
        <v/>
      </c>
      <c r="G443" t="str">
        <f ca="1">IF(F443="","",$B$5+C443*$B$4-SUM($F$2:F443))</f>
        <v/>
      </c>
    </row>
    <row r="444" spans="4:7" x14ac:dyDescent="0.25">
      <c r="D444" t="str">
        <f ca="1">IF(SUM($D$2:D443)&gt;$B$4,"",D443+_xll.RiskExpon(1/$B$3))</f>
        <v/>
      </c>
      <c r="E444" t="str">
        <f t="shared" ca="1" si="6"/>
        <v/>
      </c>
      <c r="F444" t="str">
        <f ca="1">IF(E444="","",_xll.RiskWeibull($B$1,$B$2))</f>
        <v/>
      </c>
      <c r="G444" t="str">
        <f ca="1">IF(F444="","",$B$5+C444*$B$4-SUM($F$2:F444))</f>
        <v/>
      </c>
    </row>
    <row r="445" spans="4:7" x14ac:dyDescent="0.25">
      <c r="D445" t="str">
        <f ca="1">IF(SUM($D$2:D444)&gt;$B$4,"",D444+_xll.RiskExpon(1/$B$3))</f>
        <v/>
      </c>
      <c r="E445" t="str">
        <f t="shared" ca="1" si="6"/>
        <v/>
      </c>
      <c r="F445" t="str">
        <f ca="1">IF(E445="","",_xll.RiskWeibull($B$1,$B$2))</f>
        <v/>
      </c>
      <c r="G445" t="str">
        <f ca="1">IF(F445="","",$B$5+C445*$B$4-SUM($F$2:F445))</f>
        <v/>
      </c>
    </row>
    <row r="446" spans="4:7" x14ac:dyDescent="0.25">
      <c r="D446" t="str">
        <f ca="1">IF(SUM($D$2:D445)&gt;$B$4,"",D445+_xll.RiskExpon(1/$B$3))</f>
        <v/>
      </c>
      <c r="E446" t="str">
        <f t="shared" ca="1" si="6"/>
        <v/>
      </c>
      <c r="F446" t="str">
        <f ca="1">IF(E446="","",_xll.RiskWeibull($B$1,$B$2))</f>
        <v/>
      </c>
      <c r="G446" t="str">
        <f ca="1">IF(F446="","",$B$5+C446*$B$4-SUM($F$2:F446))</f>
        <v/>
      </c>
    </row>
    <row r="447" spans="4:7" x14ac:dyDescent="0.25">
      <c r="D447" t="str">
        <f ca="1">IF(SUM($D$2:D446)&gt;$B$4,"",D446+_xll.RiskExpon(1/$B$3))</f>
        <v/>
      </c>
      <c r="E447" t="str">
        <f t="shared" ca="1" si="6"/>
        <v/>
      </c>
      <c r="F447" t="str">
        <f ca="1">IF(E447="","",_xll.RiskWeibull($B$1,$B$2))</f>
        <v/>
      </c>
      <c r="G447" t="str">
        <f ca="1">IF(F447="","",$B$5+C447*$B$4-SUM($F$2:F447))</f>
        <v/>
      </c>
    </row>
    <row r="448" spans="4:7" x14ac:dyDescent="0.25">
      <c r="D448" t="str">
        <f ca="1">IF(SUM($D$2:D447)&gt;$B$4,"",D447+_xll.RiskExpon(1/$B$3))</f>
        <v/>
      </c>
      <c r="E448" t="str">
        <f t="shared" ca="1" si="6"/>
        <v/>
      </c>
      <c r="F448" t="str">
        <f ca="1">IF(E448="","",_xll.RiskWeibull($B$1,$B$2))</f>
        <v/>
      </c>
      <c r="G448" t="str">
        <f ca="1">IF(F448="","",$B$5+C448*$B$4-SUM($F$2:F448))</f>
        <v/>
      </c>
    </row>
    <row r="449" spans="4:7" x14ac:dyDescent="0.25">
      <c r="D449" t="str">
        <f ca="1">IF(SUM($D$2:D448)&gt;$B$4,"",D448+_xll.RiskExpon(1/$B$3))</f>
        <v/>
      </c>
      <c r="E449" t="str">
        <f t="shared" ca="1" si="6"/>
        <v/>
      </c>
      <c r="F449" t="str">
        <f ca="1">IF(E449="","",_xll.RiskWeibull($B$1,$B$2))</f>
        <v/>
      </c>
      <c r="G449" t="str">
        <f ca="1">IF(F449="","",$B$5+C449*$B$4-SUM($F$2:F449))</f>
        <v/>
      </c>
    </row>
    <row r="450" spans="4:7" x14ac:dyDescent="0.25">
      <c r="D450" t="str">
        <f ca="1">IF(SUM($D$2:D449)&gt;$B$4,"",D449+_xll.RiskExpon(1/$B$3))</f>
        <v/>
      </c>
      <c r="E450" t="str">
        <f t="shared" ca="1" si="6"/>
        <v/>
      </c>
      <c r="F450" t="str">
        <f ca="1">IF(E450="","",_xll.RiskWeibull($B$1,$B$2))</f>
        <v/>
      </c>
      <c r="G450" t="str">
        <f ca="1">IF(F450="","",$B$5+C450*$B$4-SUM($F$2:F450))</f>
        <v/>
      </c>
    </row>
    <row r="451" spans="4:7" x14ac:dyDescent="0.25">
      <c r="D451" t="str">
        <f ca="1">IF(SUM($D$2:D450)&gt;$B$4,"",D450+_xll.RiskExpon(1/$B$3))</f>
        <v/>
      </c>
      <c r="E451" t="str">
        <f t="shared" ca="1" si="6"/>
        <v/>
      </c>
      <c r="F451" t="str">
        <f ca="1">IF(E451="","",_xll.RiskWeibull($B$1,$B$2))</f>
        <v/>
      </c>
      <c r="G451" t="str">
        <f ca="1">IF(F451="","",$B$5+C451*$B$4-SUM($F$2:F451))</f>
        <v/>
      </c>
    </row>
    <row r="452" spans="4:7" x14ac:dyDescent="0.25">
      <c r="D452" t="str">
        <f ca="1">IF(SUM($D$2:D451)&gt;$B$4,"",D451+_xll.RiskExpon(1/$B$3))</f>
        <v/>
      </c>
      <c r="E452" t="str">
        <f t="shared" ref="E452:E499" ca="1" si="7">IF(E451&lt;$B$7,E451+1,"")</f>
        <v/>
      </c>
      <c r="F452" t="str">
        <f ca="1">IF(E452="","",_xll.RiskWeibull($B$1,$B$2))</f>
        <v/>
      </c>
      <c r="G452" t="str">
        <f ca="1">IF(F452="","",$B$5+C452*$B$4-SUM($F$2:F452))</f>
        <v/>
      </c>
    </row>
    <row r="453" spans="4:7" x14ac:dyDescent="0.25">
      <c r="D453" t="str">
        <f ca="1">IF(SUM($D$2:D452)&gt;$B$4,"",D452+_xll.RiskExpon(1/$B$3))</f>
        <v/>
      </c>
      <c r="E453" t="str">
        <f t="shared" ca="1" si="7"/>
        <v/>
      </c>
      <c r="F453" t="str">
        <f ca="1">IF(E453="","",_xll.RiskWeibull($B$1,$B$2))</f>
        <v/>
      </c>
      <c r="G453" t="str">
        <f ca="1">IF(F453="","",$B$5+C453*$B$4-SUM($F$2:F453))</f>
        <v/>
      </c>
    </row>
    <row r="454" spans="4:7" x14ac:dyDescent="0.25">
      <c r="D454" t="str">
        <f ca="1">IF(SUM($D$2:D453)&gt;$B$4,"",D453+_xll.RiskExpon(1/$B$3))</f>
        <v/>
      </c>
      <c r="E454" t="str">
        <f t="shared" ca="1" si="7"/>
        <v/>
      </c>
      <c r="F454" t="str">
        <f ca="1">IF(E454="","",_xll.RiskWeibull($B$1,$B$2))</f>
        <v/>
      </c>
      <c r="G454" t="str">
        <f ca="1">IF(F454="","",$B$5+C454*$B$4-SUM($F$2:F454))</f>
        <v/>
      </c>
    </row>
    <row r="455" spans="4:7" x14ac:dyDescent="0.25">
      <c r="D455" t="str">
        <f ca="1">IF(SUM($D$2:D454)&gt;$B$4,"",D454+_xll.RiskExpon(1/$B$3))</f>
        <v/>
      </c>
      <c r="E455" t="str">
        <f t="shared" ca="1" si="7"/>
        <v/>
      </c>
      <c r="F455" t="str">
        <f ca="1">IF(E455="","",_xll.RiskWeibull($B$1,$B$2))</f>
        <v/>
      </c>
      <c r="G455" t="str">
        <f ca="1">IF(F455="","",$B$5+C455*$B$4-SUM($F$2:F455))</f>
        <v/>
      </c>
    </row>
    <row r="456" spans="4:7" x14ac:dyDescent="0.25">
      <c r="D456" t="str">
        <f ca="1">IF(SUM($D$2:D455)&gt;$B$4,"",D455+_xll.RiskExpon(1/$B$3))</f>
        <v/>
      </c>
      <c r="E456" t="str">
        <f t="shared" ca="1" si="7"/>
        <v/>
      </c>
      <c r="F456" t="str">
        <f ca="1">IF(E456="","",_xll.RiskWeibull($B$1,$B$2))</f>
        <v/>
      </c>
      <c r="G456" t="str">
        <f ca="1">IF(F456="","",$B$5+C456*$B$4-SUM($F$2:F456))</f>
        <v/>
      </c>
    </row>
    <row r="457" spans="4:7" x14ac:dyDescent="0.25">
      <c r="D457" t="str">
        <f ca="1">IF(SUM($D$2:D456)&gt;$B$4,"",D456+_xll.RiskExpon(1/$B$3))</f>
        <v/>
      </c>
      <c r="E457" t="str">
        <f t="shared" ca="1" si="7"/>
        <v/>
      </c>
      <c r="F457" t="str">
        <f ca="1">IF(E457="","",_xll.RiskWeibull($B$1,$B$2))</f>
        <v/>
      </c>
      <c r="G457" t="str">
        <f ca="1">IF(F457="","",$B$5+C457*$B$4-SUM($F$2:F457))</f>
        <v/>
      </c>
    </row>
    <row r="458" spans="4:7" x14ac:dyDescent="0.25">
      <c r="D458" t="str">
        <f ca="1">IF(SUM($D$2:D457)&gt;$B$4,"",D457+_xll.RiskExpon(1/$B$3))</f>
        <v/>
      </c>
      <c r="E458" t="str">
        <f t="shared" ca="1" si="7"/>
        <v/>
      </c>
      <c r="F458" t="str">
        <f ca="1">IF(E458="","",_xll.RiskWeibull($B$1,$B$2))</f>
        <v/>
      </c>
      <c r="G458" t="str">
        <f ca="1">IF(F458="","",$B$5+C458*$B$4-SUM($F$2:F458))</f>
        <v/>
      </c>
    </row>
    <row r="459" spans="4:7" x14ac:dyDescent="0.25">
      <c r="D459" t="str">
        <f ca="1">IF(SUM($D$2:D458)&gt;$B$4,"",D458+_xll.RiskExpon(1/$B$3))</f>
        <v/>
      </c>
      <c r="E459" t="str">
        <f t="shared" ca="1" si="7"/>
        <v/>
      </c>
      <c r="F459" t="str">
        <f ca="1">IF(E459="","",_xll.RiskWeibull($B$1,$B$2))</f>
        <v/>
      </c>
      <c r="G459" t="str">
        <f ca="1">IF(F459="","",$B$5+C459*$B$4-SUM($F$2:F459))</f>
        <v/>
      </c>
    </row>
    <row r="460" spans="4:7" x14ac:dyDescent="0.25">
      <c r="D460" t="str">
        <f ca="1">IF(SUM($D$2:D459)&gt;$B$4,"",D459+_xll.RiskExpon(1/$B$3))</f>
        <v/>
      </c>
      <c r="E460" t="str">
        <f t="shared" ca="1" si="7"/>
        <v/>
      </c>
      <c r="F460" t="str">
        <f ca="1">IF(E460="","",_xll.RiskWeibull($B$1,$B$2))</f>
        <v/>
      </c>
      <c r="G460" t="str">
        <f ca="1">IF(F460="","",$B$5+C460*$B$4-SUM($F$2:F460))</f>
        <v/>
      </c>
    </row>
    <row r="461" spans="4:7" x14ac:dyDescent="0.25">
      <c r="D461" t="str">
        <f ca="1">IF(SUM($D$2:D460)&gt;$B$4,"",D460+_xll.RiskExpon(1/$B$3))</f>
        <v/>
      </c>
      <c r="E461" t="str">
        <f t="shared" ca="1" si="7"/>
        <v/>
      </c>
      <c r="F461" t="str">
        <f ca="1">IF(E461="","",_xll.RiskWeibull($B$1,$B$2))</f>
        <v/>
      </c>
      <c r="G461" t="str">
        <f ca="1">IF(F461="","",$B$5+C461*$B$4-SUM($F$2:F461))</f>
        <v/>
      </c>
    </row>
    <row r="462" spans="4:7" x14ac:dyDescent="0.25">
      <c r="D462" t="str">
        <f ca="1">IF(SUM($D$2:D461)&gt;$B$4,"",D461+_xll.RiskExpon(1/$B$3))</f>
        <v/>
      </c>
      <c r="E462" t="str">
        <f t="shared" ca="1" si="7"/>
        <v/>
      </c>
      <c r="F462" t="str">
        <f ca="1">IF(E462="","",_xll.RiskWeibull($B$1,$B$2))</f>
        <v/>
      </c>
      <c r="G462" t="str">
        <f ca="1">IF(F462="","",$B$5+C462*$B$4-SUM($F$2:F462))</f>
        <v/>
      </c>
    </row>
    <row r="463" spans="4:7" x14ac:dyDescent="0.25">
      <c r="D463" t="str">
        <f ca="1">IF(SUM($D$2:D462)&gt;$B$4,"",D462+_xll.RiskExpon(1/$B$3))</f>
        <v/>
      </c>
      <c r="E463" t="str">
        <f t="shared" ca="1" si="7"/>
        <v/>
      </c>
      <c r="F463" t="str">
        <f ca="1">IF(E463="","",_xll.RiskWeibull($B$1,$B$2))</f>
        <v/>
      </c>
      <c r="G463" t="str">
        <f ca="1">IF(F463="","",$B$5+C463*$B$4-SUM($F$2:F463))</f>
        <v/>
      </c>
    </row>
    <row r="464" spans="4:7" x14ac:dyDescent="0.25">
      <c r="D464" t="str">
        <f ca="1">IF(SUM($D$2:D463)&gt;$B$4,"",D463+_xll.RiskExpon(1/$B$3))</f>
        <v/>
      </c>
      <c r="E464" t="str">
        <f t="shared" ca="1" si="7"/>
        <v/>
      </c>
      <c r="F464" t="str">
        <f ca="1">IF(E464="","",_xll.RiskWeibull($B$1,$B$2))</f>
        <v/>
      </c>
      <c r="G464" t="str">
        <f ca="1">IF(F464="","",$B$5+C464*$B$4-SUM($F$2:F464))</f>
        <v/>
      </c>
    </row>
    <row r="465" spans="4:7" x14ac:dyDescent="0.25">
      <c r="D465" t="str">
        <f ca="1">IF(SUM($D$2:D464)&gt;$B$4,"",D464+_xll.RiskExpon(1/$B$3))</f>
        <v/>
      </c>
      <c r="E465" t="str">
        <f t="shared" ca="1" si="7"/>
        <v/>
      </c>
      <c r="F465" t="str">
        <f ca="1">IF(E465="","",_xll.RiskWeibull($B$1,$B$2))</f>
        <v/>
      </c>
      <c r="G465" t="str">
        <f ca="1">IF(F465="","",$B$5+C465*$B$4-SUM($F$2:F465))</f>
        <v/>
      </c>
    </row>
    <row r="466" spans="4:7" x14ac:dyDescent="0.25">
      <c r="D466" t="str">
        <f ca="1">IF(SUM($D$2:D465)&gt;$B$4,"",D465+_xll.RiskExpon(1/$B$3))</f>
        <v/>
      </c>
      <c r="E466" t="str">
        <f t="shared" ca="1" si="7"/>
        <v/>
      </c>
      <c r="F466" t="str">
        <f ca="1">IF(E466="","",_xll.RiskWeibull($B$1,$B$2))</f>
        <v/>
      </c>
      <c r="G466" t="str">
        <f ca="1">IF(F466="","",$B$5+C466*$B$4-SUM($F$2:F466))</f>
        <v/>
      </c>
    </row>
    <row r="467" spans="4:7" x14ac:dyDescent="0.25">
      <c r="D467" t="str">
        <f ca="1">IF(SUM($D$2:D466)&gt;$B$4,"",D466+_xll.RiskExpon(1/$B$3))</f>
        <v/>
      </c>
      <c r="E467" t="str">
        <f t="shared" ca="1" si="7"/>
        <v/>
      </c>
      <c r="F467" t="str">
        <f ca="1">IF(E467="","",_xll.RiskWeibull($B$1,$B$2))</f>
        <v/>
      </c>
      <c r="G467" t="str">
        <f ca="1">IF(F467="","",$B$5+C467*$B$4-SUM($F$2:F467))</f>
        <v/>
      </c>
    </row>
    <row r="468" spans="4:7" x14ac:dyDescent="0.25">
      <c r="D468" t="str">
        <f ca="1">IF(SUM($D$2:D467)&gt;$B$4,"",D467+_xll.RiskExpon(1/$B$3))</f>
        <v/>
      </c>
      <c r="E468" t="str">
        <f t="shared" ca="1" si="7"/>
        <v/>
      </c>
      <c r="F468" t="str">
        <f ca="1">IF(E468="","",_xll.RiskWeibull($B$1,$B$2))</f>
        <v/>
      </c>
      <c r="G468" t="str">
        <f ca="1">IF(F468="","",$B$5+C468*$B$4-SUM($F$2:F468))</f>
        <v/>
      </c>
    </row>
    <row r="469" spans="4:7" x14ac:dyDescent="0.25">
      <c r="D469" t="str">
        <f ca="1">IF(SUM($D$2:D468)&gt;$B$4,"",D468+_xll.RiskExpon(1/$B$3))</f>
        <v/>
      </c>
      <c r="E469" t="str">
        <f t="shared" ca="1" si="7"/>
        <v/>
      </c>
      <c r="F469" t="str">
        <f ca="1">IF(E469="","",_xll.RiskWeibull($B$1,$B$2))</f>
        <v/>
      </c>
      <c r="G469" t="str">
        <f ca="1">IF(F469="","",$B$5+C469*$B$4-SUM($F$2:F469))</f>
        <v/>
      </c>
    </row>
    <row r="470" spans="4:7" x14ac:dyDescent="0.25">
      <c r="D470" t="str">
        <f ca="1">IF(SUM($D$2:D469)&gt;$B$4,"",D469+_xll.RiskExpon(1/$B$3))</f>
        <v/>
      </c>
      <c r="E470" t="str">
        <f t="shared" ca="1" si="7"/>
        <v/>
      </c>
      <c r="F470" t="str">
        <f ca="1">IF(E470="","",_xll.RiskWeibull($B$1,$B$2))</f>
        <v/>
      </c>
      <c r="G470" t="str">
        <f ca="1">IF(F470="","",$B$5+C470*$B$4-SUM($F$2:F470))</f>
        <v/>
      </c>
    </row>
    <row r="471" spans="4:7" x14ac:dyDescent="0.25">
      <c r="D471" t="str">
        <f ca="1">IF(SUM($D$2:D470)&gt;$B$4,"",D470+_xll.RiskExpon(1/$B$3))</f>
        <v/>
      </c>
      <c r="E471" t="str">
        <f t="shared" ca="1" si="7"/>
        <v/>
      </c>
      <c r="F471" t="str">
        <f ca="1">IF(E471="","",_xll.RiskWeibull($B$1,$B$2))</f>
        <v/>
      </c>
      <c r="G471" t="str">
        <f ca="1">IF(F471="","",$B$5+C471*$B$4-SUM($F$2:F471))</f>
        <v/>
      </c>
    </row>
    <row r="472" spans="4:7" x14ac:dyDescent="0.25">
      <c r="D472" t="str">
        <f ca="1">IF(SUM($D$2:D471)&gt;$B$4,"",D471+_xll.RiskExpon(1/$B$3))</f>
        <v/>
      </c>
      <c r="E472" t="str">
        <f t="shared" ca="1" si="7"/>
        <v/>
      </c>
      <c r="F472" t="str">
        <f ca="1">IF(E472="","",_xll.RiskWeibull($B$1,$B$2))</f>
        <v/>
      </c>
      <c r="G472" t="str">
        <f ca="1">IF(F472="","",$B$5+C472*$B$4-SUM($F$2:F472))</f>
        <v/>
      </c>
    </row>
    <row r="473" spans="4:7" x14ac:dyDescent="0.25">
      <c r="D473" t="str">
        <f ca="1">IF(SUM($D$2:D472)&gt;$B$4,"",D472+_xll.RiskExpon(1/$B$3))</f>
        <v/>
      </c>
      <c r="E473" t="str">
        <f t="shared" ca="1" si="7"/>
        <v/>
      </c>
      <c r="F473" t="str">
        <f ca="1">IF(E473="","",_xll.RiskWeibull($B$1,$B$2))</f>
        <v/>
      </c>
      <c r="G473" t="str">
        <f ca="1">IF(F473="","",$B$5+C473*$B$4-SUM($F$2:F473))</f>
        <v/>
      </c>
    </row>
    <row r="474" spans="4:7" x14ac:dyDescent="0.25">
      <c r="D474" t="str">
        <f ca="1">IF(SUM($D$2:D473)&gt;$B$4,"",D473+_xll.RiskExpon(1/$B$3))</f>
        <v/>
      </c>
      <c r="E474" t="str">
        <f t="shared" ca="1" si="7"/>
        <v/>
      </c>
      <c r="F474" t="str">
        <f ca="1">IF(E474="","",_xll.RiskWeibull($B$1,$B$2))</f>
        <v/>
      </c>
      <c r="G474" t="str">
        <f ca="1">IF(F474="","",$B$5+C474*$B$4-SUM($F$2:F474))</f>
        <v/>
      </c>
    </row>
    <row r="475" spans="4:7" x14ac:dyDescent="0.25">
      <c r="D475" t="str">
        <f ca="1">IF(SUM($D$2:D474)&gt;$B$4,"",D474+_xll.RiskExpon(1/$B$3))</f>
        <v/>
      </c>
      <c r="E475" t="str">
        <f t="shared" ca="1" si="7"/>
        <v/>
      </c>
      <c r="F475" t="str">
        <f ca="1">IF(E475="","",_xll.RiskWeibull($B$1,$B$2))</f>
        <v/>
      </c>
      <c r="G475" t="str">
        <f ca="1">IF(F475="","",$B$5+C475*$B$4-SUM($F$2:F475))</f>
        <v/>
      </c>
    </row>
    <row r="476" spans="4:7" x14ac:dyDescent="0.25">
      <c r="D476" t="str">
        <f ca="1">IF(SUM($D$2:D475)&gt;$B$4,"",D475+_xll.RiskExpon(1/$B$3))</f>
        <v/>
      </c>
      <c r="E476" t="str">
        <f t="shared" ca="1" si="7"/>
        <v/>
      </c>
      <c r="F476" t="str">
        <f ca="1">IF(E476="","",_xll.RiskWeibull($B$1,$B$2))</f>
        <v/>
      </c>
      <c r="G476" t="str">
        <f ca="1">IF(F476="","",$B$5+C476*$B$4-SUM($F$2:F476))</f>
        <v/>
      </c>
    </row>
    <row r="477" spans="4:7" x14ac:dyDescent="0.25">
      <c r="D477" t="str">
        <f ca="1">IF(SUM($D$2:D476)&gt;$B$4,"",D476+_xll.RiskExpon(1/$B$3))</f>
        <v/>
      </c>
      <c r="E477" t="str">
        <f t="shared" ca="1" si="7"/>
        <v/>
      </c>
      <c r="F477" t="str">
        <f ca="1">IF(E477="","",_xll.RiskWeibull($B$1,$B$2))</f>
        <v/>
      </c>
      <c r="G477" t="str">
        <f ca="1">IF(F477="","",$B$5+C477*$B$4-SUM($F$2:F477))</f>
        <v/>
      </c>
    </row>
    <row r="478" spans="4:7" x14ac:dyDescent="0.25">
      <c r="D478" t="str">
        <f ca="1">IF(SUM($D$2:D477)&gt;$B$4,"",D477+_xll.RiskExpon(1/$B$3))</f>
        <v/>
      </c>
      <c r="E478" t="str">
        <f t="shared" ca="1" si="7"/>
        <v/>
      </c>
      <c r="F478" t="str">
        <f ca="1">IF(E478="","",_xll.RiskWeibull($B$1,$B$2))</f>
        <v/>
      </c>
      <c r="G478" t="str">
        <f ca="1">IF(F478="","",$B$5+C478*$B$4-SUM($F$2:F478))</f>
        <v/>
      </c>
    </row>
    <row r="479" spans="4:7" x14ac:dyDescent="0.25">
      <c r="D479" t="str">
        <f ca="1">IF(SUM($D$2:D478)&gt;$B$4,"",D478+_xll.RiskExpon(1/$B$3))</f>
        <v/>
      </c>
      <c r="E479" t="str">
        <f t="shared" ca="1" si="7"/>
        <v/>
      </c>
      <c r="F479" t="str">
        <f ca="1">IF(E479="","",_xll.RiskWeibull($B$1,$B$2))</f>
        <v/>
      </c>
      <c r="G479" t="str">
        <f ca="1">IF(F479="","",$B$5+C479*$B$4-SUM($F$2:F479))</f>
        <v/>
      </c>
    </row>
    <row r="480" spans="4:7" x14ac:dyDescent="0.25">
      <c r="D480" t="str">
        <f ca="1">IF(SUM($D$2:D479)&gt;$B$4,"",D479+_xll.RiskExpon(1/$B$3))</f>
        <v/>
      </c>
      <c r="E480" t="str">
        <f t="shared" ca="1" si="7"/>
        <v/>
      </c>
      <c r="F480" t="str">
        <f ca="1">IF(E480="","",_xll.RiskWeibull($B$1,$B$2))</f>
        <v/>
      </c>
      <c r="G480" t="str">
        <f ca="1">IF(F480="","",$B$5+C480*$B$4-SUM($F$2:F480))</f>
        <v/>
      </c>
    </row>
    <row r="481" spans="4:7" x14ac:dyDescent="0.25">
      <c r="D481" t="str">
        <f ca="1">IF(SUM($D$2:D480)&gt;$B$4,"",D480+_xll.RiskExpon(1/$B$3))</f>
        <v/>
      </c>
      <c r="E481" t="str">
        <f t="shared" ca="1" si="7"/>
        <v/>
      </c>
      <c r="F481" t="str">
        <f ca="1">IF(E481="","",_xll.RiskWeibull($B$1,$B$2))</f>
        <v/>
      </c>
      <c r="G481" t="str">
        <f ca="1">IF(F481="","",$B$5+C481*$B$4-SUM($F$2:F481))</f>
        <v/>
      </c>
    </row>
    <row r="482" spans="4:7" x14ac:dyDescent="0.25">
      <c r="D482" t="str">
        <f ca="1">IF(SUM($D$2:D481)&gt;$B$4,"",D481+_xll.RiskExpon(1/$B$3))</f>
        <v/>
      </c>
      <c r="E482" t="str">
        <f t="shared" ca="1" si="7"/>
        <v/>
      </c>
      <c r="F482" t="str">
        <f ca="1">IF(E482="","",_xll.RiskWeibull($B$1,$B$2))</f>
        <v/>
      </c>
      <c r="G482" t="str">
        <f ca="1">IF(F482="","",$B$5+C482*$B$4-SUM($F$2:F482))</f>
        <v/>
      </c>
    </row>
    <row r="483" spans="4:7" x14ac:dyDescent="0.25">
      <c r="D483" t="str">
        <f ca="1">IF(SUM($D$2:D482)&gt;$B$4,"",D482+_xll.RiskExpon(1/$B$3))</f>
        <v/>
      </c>
      <c r="E483" t="str">
        <f t="shared" ca="1" si="7"/>
        <v/>
      </c>
      <c r="F483" t="str">
        <f ca="1">IF(E483="","",_xll.RiskWeibull($B$1,$B$2))</f>
        <v/>
      </c>
      <c r="G483" t="str">
        <f ca="1">IF(F483="","",$B$5+C483*$B$4-SUM($F$2:F483))</f>
        <v/>
      </c>
    </row>
    <row r="484" spans="4:7" x14ac:dyDescent="0.25">
      <c r="D484" t="str">
        <f ca="1">IF(SUM($D$2:D483)&gt;$B$4,"",D483+_xll.RiskExpon(1/$B$3))</f>
        <v/>
      </c>
      <c r="E484" t="str">
        <f t="shared" ca="1" si="7"/>
        <v/>
      </c>
      <c r="F484" t="str">
        <f ca="1">IF(E484="","",_xll.RiskWeibull($B$1,$B$2))</f>
        <v/>
      </c>
      <c r="G484" t="str">
        <f ca="1">IF(F484="","",$B$5+C484*$B$4-SUM($F$2:F484))</f>
        <v/>
      </c>
    </row>
    <row r="485" spans="4:7" x14ac:dyDescent="0.25">
      <c r="D485" t="str">
        <f ca="1">IF(SUM($D$2:D484)&gt;$B$4,"",D484+_xll.RiskExpon(1/$B$3))</f>
        <v/>
      </c>
      <c r="E485" t="str">
        <f t="shared" ca="1" si="7"/>
        <v/>
      </c>
      <c r="F485" t="str">
        <f ca="1">IF(E485="","",_xll.RiskWeibull($B$1,$B$2))</f>
        <v/>
      </c>
      <c r="G485" t="str">
        <f ca="1">IF(F485="","",$B$5+C485*$B$4-SUM($F$2:F485))</f>
        <v/>
      </c>
    </row>
    <row r="486" spans="4:7" x14ac:dyDescent="0.25">
      <c r="D486" t="str">
        <f ca="1">IF(SUM($D$2:D485)&gt;$B$4,"",D485+_xll.RiskExpon(1/$B$3))</f>
        <v/>
      </c>
      <c r="E486" t="str">
        <f t="shared" ca="1" si="7"/>
        <v/>
      </c>
      <c r="F486" t="str">
        <f ca="1">IF(E486="","",_xll.RiskWeibull($B$1,$B$2))</f>
        <v/>
      </c>
      <c r="G486" t="str">
        <f ca="1">IF(F486="","",$B$5+C486*$B$4-SUM($F$2:F486))</f>
        <v/>
      </c>
    </row>
    <row r="487" spans="4:7" x14ac:dyDescent="0.25">
      <c r="D487" t="str">
        <f ca="1">IF(SUM($D$2:D486)&gt;$B$4,"",D486+_xll.RiskExpon(1/$B$3))</f>
        <v/>
      </c>
      <c r="E487" t="str">
        <f t="shared" ca="1" si="7"/>
        <v/>
      </c>
      <c r="F487" t="str">
        <f ca="1">IF(E487="","",_xll.RiskWeibull($B$1,$B$2))</f>
        <v/>
      </c>
      <c r="G487" t="str">
        <f ca="1">IF(F487="","",$B$5+C487*$B$4-SUM($F$2:F487))</f>
        <v/>
      </c>
    </row>
    <row r="488" spans="4:7" x14ac:dyDescent="0.25">
      <c r="D488" t="str">
        <f ca="1">IF(SUM($D$2:D487)&gt;$B$4,"",D487+_xll.RiskExpon(1/$B$3))</f>
        <v/>
      </c>
      <c r="E488" t="str">
        <f t="shared" ca="1" si="7"/>
        <v/>
      </c>
      <c r="F488" t="str">
        <f ca="1">IF(E488="","",_xll.RiskWeibull($B$1,$B$2))</f>
        <v/>
      </c>
      <c r="G488" t="str">
        <f ca="1">IF(F488="","",$B$5+C488*$B$4-SUM($F$2:F488))</f>
        <v/>
      </c>
    </row>
    <row r="489" spans="4:7" x14ac:dyDescent="0.25">
      <c r="D489" t="str">
        <f ca="1">IF(SUM($D$2:D488)&gt;$B$4,"",D488+_xll.RiskExpon(1/$B$3))</f>
        <v/>
      </c>
      <c r="E489" t="str">
        <f t="shared" ca="1" si="7"/>
        <v/>
      </c>
      <c r="F489" t="str">
        <f ca="1">IF(E489="","",_xll.RiskWeibull($B$1,$B$2))</f>
        <v/>
      </c>
      <c r="G489" t="str">
        <f ca="1">IF(F489="","",$B$5+C489*$B$4-SUM($F$2:F489))</f>
        <v/>
      </c>
    </row>
    <row r="490" spans="4:7" x14ac:dyDescent="0.25">
      <c r="D490" t="str">
        <f ca="1">IF(SUM($D$2:D489)&gt;$B$4,"",D489+_xll.RiskExpon(1/$B$3))</f>
        <v/>
      </c>
      <c r="E490" t="str">
        <f t="shared" ca="1" si="7"/>
        <v/>
      </c>
      <c r="F490" t="str">
        <f ca="1">IF(E490="","",_xll.RiskWeibull($B$1,$B$2))</f>
        <v/>
      </c>
      <c r="G490" t="str">
        <f ca="1">IF(F490="","",$B$5+C490*$B$4-SUM($F$2:F490))</f>
        <v/>
      </c>
    </row>
    <row r="491" spans="4:7" x14ac:dyDescent="0.25">
      <c r="D491" t="str">
        <f ca="1">IF(SUM($D$2:D490)&gt;$B$4,"",D490+_xll.RiskExpon(1/$B$3))</f>
        <v/>
      </c>
      <c r="E491" t="str">
        <f t="shared" ca="1" si="7"/>
        <v/>
      </c>
      <c r="F491" t="str">
        <f ca="1">IF(E491="","",_xll.RiskWeibull($B$1,$B$2))</f>
        <v/>
      </c>
      <c r="G491" t="str">
        <f ca="1">IF(F491="","",$B$5+C491*$B$4-SUM($F$2:F491))</f>
        <v/>
      </c>
    </row>
    <row r="492" spans="4:7" x14ac:dyDescent="0.25">
      <c r="D492" t="str">
        <f ca="1">IF(SUM($D$2:D491)&gt;$B$4,"",D491+_xll.RiskExpon(1/$B$3))</f>
        <v/>
      </c>
      <c r="E492" t="str">
        <f t="shared" ca="1" si="7"/>
        <v/>
      </c>
      <c r="F492" t="str">
        <f ca="1">IF(E492="","",_xll.RiskWeibull($B$1,$B$2))</f>
        <v/>
      </c>
      <c r="G492" t="str">
        <f ca="1">IF(F492="","",$B$5+C492*$B$4-SUM($F$2:F492))</f>
        <v/>
      </c>
    </row>
    <row r="493" spans="4:7" x14ac:dyDescent="0.25">
      <c r="D493" t="str">
        <f ca="1">IF(SUM($D$2:D492)&gt;$B$4,"",D492+_xll.RiskExpon(1/$B$3))</f>
        <v/>
      </c>
      <c r="E493" t="str">
        <f t="shared" ca="1" si="7"/>
        <v/>
      </c>
      <c r="F493" t="str">
        <f ca="1">IF(E493="","",_xll.RiskWeibull($B$1,$B$2))</f>
        <v/>
      </c>
      <c r="G493" t="str">
        <f ca="1">IF(F493="","",$B$5+C493*$B$4-SUM($F$2:F493))</f>
        <v/>
      </c>
    </row>
    <row r="494" spans="4:7" x14ac:dyDescent="0.25">
      <c r="D494" t="str">
        <f ca="1">IF(SUM($D$2:D493)&gt;$B$4,"",D493+_xll.RiskExpon(1/$B$3))</f>
        <v/>
      </c>
      <c r="E494" t="str">
        <f t="shared" ca="1" si="7"/>
        <v/>
      </c>
      <c r="F494" t="str">
        <f ca="1">IF(E494="","",_xll.RiskWeibull($B$1,$B$2))</f>
        <v/>
      </c>
      <c r="G494" t="str">
        <f ca="1">IF(F494="","",$B$5+C494*$B$4-SUM($F$2:F494))</f>
        <v/>
      </c>
    </row>
    <row r="495" spans="4:7" x14ac:dyDescent="0.25">
      <c r="D495" t="str">
        <f ca="1">IF(SUM($D$2:D494)&gt;$B$4,"",D494+_xll.RiskExpon(1/$B$3))</f>
        <v/>
      </c>
      <c r="E495" t="str">
        <f t="shared" ca="1" si="7"/>
        <v/>
      </c>
      <c r="F495" t="str">
        <f ca="1">IF(E495="","",_xll.RiskWeibull($B$1,$B$2))</f>
        <v/>
      </c>
      <c r="G495" t="str">
        <f ca="1">IF(F495="","",$B$5+C495*$B$4-SUM($F$2:F495))</f>
        <v/>
      </c>
    </row>
    <row r="496" spans="4:7" x14ac:dyDescent="0.25">
      <c r="D496" t="str">
        <f ca="1">IF(SUM($D$2:D495)&gt;$B$4,"",D495+_xll.RiskExpon(1/$B$3))</f>
        <v/>
      </c>
      <c r="E496" t="str">
        <f t="shared" ca="1" si="7"/>
        <v/>
      </c>
      <c r="F496" t="str">
        <f ca="1">IF(E496="","",_xll.RiskWeibull($B$1,$B$2))</f>
        <v/>
      </c>
      <c r="G496" t="str">
        <f ca="1">IF(F496="","",$B$5+C496*$B$4-SUM($F$2:F496))</f>
        <v/>
      </c>
    </row>
    <row r="497" spans="4:7" x14ac:dyDescent="0.25">
      <c r="D497" t="str">
        <f ca="1">IF(SUM($D$2:D496)&gt;$B$4,"",D496+_xll.RiskExpon(1/$B$3))</f>
        <v/>
      </c>
      <c r="E497" t="str">
        <f t="shared" ca="1" si="7"/>
        <v/>
      </c>
      <c r="F497" t="str">
        <f ca="1">IF(E497="","",_xll.RiskWeibull($B$1,$B$2))</f>
        <v/>
      </c>
      <c r="G497" t="str">
        <f ca="1">IF(F497="","",$B$5+C497*$B$4-SUM($F$2:F497))</f>
        <v/>
      </c>
    </row>
    <row r="498" spans="4:7" x14ac:dyDescent="0.25">
      <c r="D498" t="str">
        <f ca="1">IF(SUM($D$2:D497)&gt;$B$4,"",D497+_xll.RiskExpon(1/$B$3))</f>
        <v/>
      </c>
      <c r="E498" t="str">
        <f t="shared" ca="1" si="7"/>
        <v/>
      </c>
      <c r="F498" t="str">
        <f ca="1">IF(E498="","",_xll.RiskWeibull($B$1,$B$2))</f>
        <v/>
      </c>
      <c r="G498" t="str">
        <f ca="1">IF(F498="","",$B$5+C498*$B$4-SUM($F$2:F498))</f>
        <v/>
      </c>
    </row>
    <row r="499" spans="4:7" x14ac:dyDescent="0.25">
      <c r="D499" t="str">
        <f ca="1">IF(SUM($D$2:D498)&gt;$B$4,"",D498+_xll.RiskExpon(1/$B$3))</f>
        <v/>
      </c>
      <c r="E499" t="str">
        <f t="shared" ca="1" si="7"/>
        <v/>
      </c>
      <c r="F499" t="str">
        <f ca="1">IF(E499="","",_xll.RiskWeibull($B$1,$B$2))</f>
        <v/>
      </c>
    </row>
  </sheetData>
  <conditionalFormatting sqref="J2">
    <cfRule type="expression" dxfId="5" priority="1" stopIfTrue="1">
      <formula>RiskIsOutput</formula>
    </cfRule>
  </conditionalFormatting>
  <conditionalFormatting sqref="B7 F2:F499">
    <cfRule type="expression" dxfId="4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ammafin">
                <anchor moveWithCells="1" sizeWithCells="1">
                  <from>
                    <xdr:col>11</xdr:col>
                    <xdr:colOff>371475</xdr:colOff>
                    <xdr:row>0</xdr:row>
                    <xdr:rowOff>114300</xdr:rowOff>
                  </from>
                  <to>
                    <xdr:col>12</xdr:col>
                    <xdr:colOff>352425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J499"/>
  <sheetViews>
    <sheetView workbookViewId="0">
      <selection activeCell="B6" sqref="B6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3</v>
      </c>
      <c r="B1">
        <v>2</v>
      </c>
      <c r="C1" s="2" t="s">
        <v>14</v>
      </c>
      <c r="D1" s="2" t="s">
        <v>13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4</v>
      </c>
      <c r="B2">
        <v>2</v>
      </c>
      <c r="C2">
        <f ca="1">INT(D2)</f>
        <v>1</v>
      </c>
      <c r="D2">
        <f ca="1">_xll.RiskExpon(B2)</f>
        <v>1.5096725442781642</v>
      </c>
      <c r="E2">
        <f>IF(B1="","",1)</f>
        <v>1</v>
      </c>
      <c r="F2">
        <f ca="1">IF(E2="","",_xll.RiskExpon($B$1))</f>
        <v>3.9674691526788073</v>
      </c>
      <c r="G2">
        <f ca="1">IF(F2="","",$B$5+C2*$B$4-F2)</f>
        <v>-1.9674691526788073</v>
      </c>
    </row>
    <row r="3" spans="1:10" x14ac:dyDescent="0.25">
      <c r="A3" s="1" t="s">
        <v>5</v>
      </c>
      <c r="B3">
        <v>10</v>
      </c>
      <c r="C3">
        <f ca="1">IF(D3="","",INT(SUM($D$2:D3)))</f>
        <v>4</v>
      </c>
      <c r="D3">
        <f ca="1">IF(D2&gt;$B$3,"",D2+_xll.RiskExpon($B$2))</f>
        <v>3.0802318255516141</v>
      </c>
      <c r="E3">
        <f t="shared" ref="E3:E66" ca="1" si="0">IF(E2&lt;$B$6,E2+1,"")</f>
        <v>2</v>
      </c>
      <c r="F3">
        <f ca="1">IF(E3="","",_xll.RiskExpon($B$1))</f>
        <v>0.42297789148556481</v>
      </c>
      <c r="G3">
        <f ca="1">IF(F3="","",$B$5+C3*$B$4-SUM($F$2:F3))</f>
        <v>0.6095529558356283</v>
      </c>
    </row>
    <row r="4" spans="1:10" x14ac:dyDescent="0.25">
      <c r="A4" s="1" t="s">
        <v>1</v>
      </c>
      <c r="B4">
        <v>1</v>
      </c>
      <c r="C4">
        <f ca="1">IF(D4="","",INT(SUM($D$2:D4)))</f>
        <v>10</v>
      </c>
      <c r="D4">
        <f ca="1">IF(SUM($D$2:D3)&gt;$B$3,"",D3+_xll.RiskExpon($B$2))</f>
        <v>5.6921547458828785</v>
      </c>
      <c r="E4">
        <f t="shared" ca="1" si="0"/>
        <v>3</v>
      </c>
      <c r="F4">
        <f ca="1">IF(E4="","",_xll.RiskExpon($B$1))</f>
        <v>0.33321727010386593</v>
      </c>
      <c r="G4">
        <f ca="1">IF(F4="","",$B$5+C4*$B$4-SUM($F$2:F4))</f>
        <v>6.2763356857317625</v>
      </c>
    </row>
    <row r="5" spans="1:10" x14ac:dyDescent="0.25">
      <c r="A5" s="1" t="s">
        <v>0</v>
      </c>
      <c r="B5">
        <v>1</v>
      </c>
      <c r="C5" t="str">
        <f ca="1">IF(D5="","",INT(SUM($D$2:D5)))</f>
        <v/>
      </c>
      <c r="D5" t="str">
        <f ca="1">IF(SUM($D$2:D4)&gt;$B$3,"",D4+_xll.RiskExpon($B$2))</f>
        <v/>
      </c>
      <c r="E5" t="str">
        <f t="shared" ca="1" si="0"/>
        <v/>
      </c>
      <c r="F5" t="str">
        <f ca="1">IF(E5="","",_xll.RiskExpon($B$1))</f>
        <v/>
      </c>
      <c r="G5" t="str">
        <f ca="1">IF(F5="","",$B$5+C5*$B$4-SUM($F$2:F5))</f>
        <v/>
      </c>
    </row>
    <row r="6" spans="1:10" x14ac:dyDescent="0.25">
      <c r="A6" s="1" t="s">
        <v>6</v>
      </c>
      <c r="B6">
        <f ca="1">COUNT(C2:C101)</f>
        <v>3</v>
      </c>
      <c r="C6" t="str">
        <f ca="1">IF(D6="","",INT(SUM($D$2:D6)))</f>
        <v/>
      </c>
      <c r="D6" t="str">
        <f ca="1">IF(SUM($D$2:D5)&gt;$B$3,"",D5+_xll.RiskExpon($B$2))</f>
        <v/>
      </c>
      <c r="E6" t="str">
        <f t="shared" ca="1" si="0"/>
        <v/>
      </c>
      <c r="F6" t="str">
        <f ca="1">IF(E6="","",_xll.RiskExpon($B$1))</f>
        <v/>
      </c>
      <c r="G6" t="str">
        <f ca="1">IF(F6="","",$B$5+C6*$B$4-SUM($F$2:F6))</f>
        <v/>
      </c>
    </row>
    <row r="7" spans="1:10" x14ac:dyDescent="0.25">
      <c r="C7" t="str">
        <f ca="1">IF(D7="","",INT(SUM($D$2:D7)))</f>
        <v/>
      </c>
      <c r="D7" t="str">
        <f ca="1">IF(SUM($D$2:D6)&gt;$B$3,"",D6+_xll.RiskExpon($B$2))</f>
        <v/>
      </c>
      <c r="E7" t="str">
        <f t="shared" ca="1" si="0"/>
        <v/>
      </c>
      <c r="F7" t="str">
        <f ca="1">IF(E7="","",_xll.RiskExpon($B$1))</f>
        <v/>
      </c>
      <c r="G7" t="str">
        <f ca="1">IF(F7="","",$B$5+C7*$B$4-SUM($F$2:F7))</f>
        <v/>
      </c>
    </row>
    <row r="8" spans="1:10" x14ac:dyDescent="0.25">
      <c r="C8" t="str">
        <f ca="1">IF(D8="","",INT(SUM($D$2:D8)))</f>
        <v/>
      </c>
      <c r="D8" t="str">
        <f ca="1">IF(SUM($D$2:D7)&gt;$B$3,"",D7+_xll.RiskExpon($B$2))</f>
        <v/>
      </c>
      <c r="E8" t="str">
        <f t="shared" ca="1" si="0"/>
        <v/>
      </c>
      <c r="F8" t="str">
        <f ca="1">IF(E8="","",_xll.RiskExpon($B$1))</f>
        <v/>
      </c>
      <c r="G8" t="str">
        <f ca="1">IF(F8="","",$B$5+C8*$B$4-SUM($F$2:F8))</f>
        <v/>
      </c>
    </row>
    <row r="9" spans="1:10" x14ac:dyDescent="0.25">
      <c r="C9" t="str">
        <f ca="1">IF(D9="","",INT(SUM($D$2:D9)))</f>
        <v/>
      </c>
      <c r="D9" t="str">
        <f ca="1">IF(SUM($D$2:D8)&gt;$B$3,"",D8+_xll.RiskExpon($B$2))</f>
        <v/>
      </c>
      <c r="E9" t="str">
        <f t="shared" ca="1" si="0"/>
        <v/>
      </c>
      <c r="F9" t="str">
        <f ca="1">IF(E9="","",_xll.RiskExpon($B$1))</f>
        <v/>
      </c>
      <c r="G9" t="str">
        <f ca="1">IF(F9="","",$B$5+C9*$B$4-SUM($F$2:F9))</f>
        <v/>
      </c>
    </row>
    <row r="10" spans="1:10" x14ac:dyDescent="0.25">
      <c r="C10" t="str">
        <f ca="1">IF(D10="","",INT(SUM($D$2:D10)))</f>
        <v/>
      </c>
      <c r="D10" t="str">
        <f ca="1">IF(SUM($D$2:D9)&gt;$B$3,"",D9+_xll.RiskExpon($B$2))</f>
        <v/>
      </c>
      <c r="E10" t="str">
        <f t="shared" ca="1" si="0"/>
        <v/>
      </c>
      <c r="F10" t="str">
        <f ca="1">IF(E10="","",_xll.RiskExpon($B$1))</f>
        <v/>
      </c>
      <c r="G10" t="str">
        <f ca="1">IF(F10="","",$B$5+C10*$B$4-SUM($F$2:F10))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IF(SUM($D$2:D10)&gt;$B$3,"",D10+_xll.RiskExpon($B$2))</f>
        <v/>
      </c>
      <c r="E11" t="str">
        <f t="shared" ca="1" si="0"/>
        <v/>
      </c>
      <c r="F11" t="str">
        <f ca="1">IF(E11="","",_xll.RiskExpon($B$1))</f>
        <v/>
      </c>
      <c r="G11" t="str">
        <f ca="1">IF(F11="","",$B$5+C11*$B$4-SUM($F$2:F11))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IF(SUM($D$2:D11)&gt;$B$3,"",D11+_xll.RiskExpon($B$2))</f>
        <v/>
      </c>
      <c r="E12" t="str">
        <f t="shared" ca="1" si="0"/>
        <v/>
      </c>
      <c r="F12" t="str">
        <f ca="1">IF(E12="","",_xll.RiskExpon($B$1))</f>
        <v/>
      </c>
      <c r="G12" t="str">
        <f ca="1">IF(F12="","",$B$5+C12*$B$4-SUM($F$2:F12))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IF(SUM($D$2:D12)&gt;$B$3,"",D12+_xll.RiskExpon($B$2))</f>
        <v/>
      </c>
      <c r="E13" t="str">
        <f t="shared" ca="1" si="0"/>
        <v/>
      </c>
      <c r="F13" t="str">
        <f ca="1">IF(E13="","",_xll.RiskExpon($B$1))</f>
        <v/>
      </c>
      <c r="G13" t="str">
        <f ca="1">IF(F13="","",$B$5+C13*$B$4-SUM($F$2:F13))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IF(SUM($D$2:D13)&gt;$B$3,"",D13+_xll.RiskExpon($B$2))</f>
        <v/>
      </c>
      <c r="E14" t="str">
        <f t="shared" ca="1" si="0"/>
        <v/>
      </c>
      <c r="F14" t="str">
        <f ca="1">IF(E14="","",_xll.RiskExpon($B$1))</f>
        <v/>
      </c>
      <c r="G14" t="str">
        <f ca="1">IF(F14="","",$B$5+C14*$B$4-SUM($F$2:F14))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IF(SUM($D$2:D14)&gt;$B$3,"",D14+_xll.RiskExpon($B$2))</f>
        <v/>
      </c>
      <c r="E15" t="str">
        <f t="shared" ca="1" si="0"/>
        <v/>
      </c>
      <c r="F15" t="str">
        <f ca="1">IF(E15="","",_xll.RiskExpon($B$1))</f>
        <v/>
      </c>
      <c r="G15" t="str">
        <f ca="1">IF(F15="","",$B$5+C15*$B$4-SUM($F$2:F15))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IF(SUM($D$2:D15)&gt;$B$3,"",D15+_xll.RiskExpon($B$2))</f>
        <v/>
      </c>
      <c r="E16" t="str">
        <f t="shared" ca="1" si="0"/>
        <v/>
      </c>
      <c r="F16" t="str">
        <f ca="1">IF(E16="","",_xll.RiskExpon($B$1))</f>
        <v/>
      </c>
      <c r="G16" t="str">
        <f ca="1">IF(F16="","",$B$5+C16*$B$4-SUM($F$2:F16))</f>
        <v/>
      </c>
    </row>
    <row r="17" spans="3:7" x14ac:dyDescent="0.25">
      <c r="C17" t="str">
        <f ca="1">IF(D17="","",INT(SUM($D$2:D17)))</f>
        <v/>
      </c>
      <c r="D17" t="str">
        <f ca="1">IF(SUM($D$2:D16)&gt;$B$3,"",D16+_xll.RiskExpon($B$2))</f>
        <v/>
      </c>
      <c r="E17" t="str">
        <f t="shared" ca="1" si="0"/>
        <v/>
      </c>
      <c r="F17" t="str">
        <f ca="1">IF(E17="","",_xll.RiskExpon($B$1))</f>
        <v/>
      </c>
      <c r="G17" t="str">
        <f ca="1">IF(F17="","",$B$5+C17*$B$4-SUM($F$2:F17))</f>
        <v/>
      </c>
    </row>
    <row r="18" spans="3:7" x14ac:dyDescent="0.25">
      <c r="C18" t="str">
        <f ca="1">IF(D18="","",INT(SUM($D$2:D18)))</f>
        <v/>
      </c>
      <c r="D18" t="str">
        <f ca="1">IF(SUM($D$2:D17)&gt;$B$3,"",D17+_xll.RiskExpon($B$2))</f>
        <v/>
      </c>
      <c r="E18" t="str">
        <f t="shared" ca="1" si="0"/>
        <v/>
      </c>
      <c r="F18" t="str">
        <f ca="1">IF(E18="","",_xll.RiskExpon($B$1))</f>
        <v/>
      </c>
      <c r="G18" t="str">
        <f ca="1">IF(F18="","",$B$5+C18*$B$4-SUM($F$2:F18))</f>
        <v/>
      </c>
    </row>
    <row r="19" spans="3:7" x14ac:dyDescent="0.25">
      <c r="C19" t="str">
        <f ca="1">IF(D19="","",INT(SUM($D$2:D19)))</f>
        <v/>
      </c>
      <c r="D19" t="str">
        <f ca="1">IF(SUM($D$2:D18)&gt;$B$3,"",D18+_xll.RiskExpon($B$2))</f>
        <v/>
      </c>
      <c r="E19" t="str">
        <f t="shared" ca="1" si="0"/>
        <v/>
      </c>
      <c r="F19" t="str">
        <f ca="1">IF(E19="","",_xll.RiskExpon($B$1))</f>
        <v/>
      </c>
      <c r="G19" t="str">
        <f ca="1">IF(F19="","",$B$5+C19*$B$4-SUM($F$2:F19))</f>
        <v/>
      </c>
    </row>
    <row r="20" spans="3:7" x14ac:dyDescent="0.25">
      <c r="C20" t="str">
        <f ca="1">IF(D20="","",INT(SUM($D$2:D20)))</f>
        <v/>
      </c>
      <c r="D20" t="str">
        <f ca="1">IF(SUM($D$2:D19)&gt;$B$3,"",D19+_xll.RiskExpon($B$2))</f>
        <v/>
      </c>
      <c r="E20" t="str">
        <f t="shared" ca="1" si="0"/>
        <v/>
      </c>
      <c r="F20" t="str">
        <f ca="1">IF(E20="","",_xll.RiskExpon($B$1))</f>
        <v/>
      </c>
      <c r="G20" t="str">
        <f ca="1">IF(F20="","",$B$5+C20*$B$4-SUM($F$2:F20))</f>
        <v/>
      </c>
    </row>
    <row r="21" spans="3:7" x14ac:dyDescent="0.25">
      <c r="C21" t="str">
        <f ca="1">IF(D21="","",INT(SUM($D$2:D21)))</f>
        <v/>
      </c>
      <c r="D21" t="str">
        <f ca="1">IF(SUM($D$2:D20)&gt;$B$3,"",D20+_xll.RiskExpon($B$2))</f>
        <v/>
      </c>
      <c r="E21" t="str">
        <f t="shared" ca="1" si="0"/>
        <v/>
      </c>
      <c r="F21" t="str">
        <f ca="1">IF(E21="","",_xll.RiskExpon($B$1))</f>
        <v/>
      </c>
      <c r="G21" t="str">
        <f ca="1">IF(F21="","",$B$5+C21*$B$4-SUM($F$2:F21))</f>
        <v/>
      </c>
    </row>
    <row r="22" spans="3:7" x14ac:dyDescent="0.25">
      <c r="C22" t="str">
        <f ca="1">IF(D22="","",INT(SUM($D$2:D22)))</f>
        <v/>
      </c>
      <c r="D22" t="str">
        <f ca="1">IF(SUM($D$2:D21)&gt;$B$3,"",D21+_xll.RiskExpon($B$2))</f>
        <v/>
      </c>
      <c r="E22" t="str">
        <f t="shared" ca="1" si="0"/>
        <v/>
      </c>
      <c r="F22" t="str">
        <f ca="1">IF(E22="","",_xll.RiskExpon($B$1))</f>
        <v/>
      </c>
      <c r="G22" t="str">
        <f ca="1">IF(F22="","",$B$5+C22*$B$4-SUM($F$2:F22))</f>
        <v/>
      </c>
    </row>
    <row r="23" spans="3:7" x14ac:dyDescent="0.25">
      <c r="C23" t="str">
        <f ca="1">IF(D23="","",INT(SUM($D$2:D23)))</f>
        <v/>
      </c>
      <c r="D23" t="str">
        <f ca="1">IF(SUM($D$2:D22)&gt;$B$3,"",D22+_xll.RiskExpon($B$2))</f>
        <v/>
      </c>
      <c r="E23" t="str">
        <f t="shared" ca="1" si="0"/>
        <v/>
      </c>
      <c r="F23" t="str">
        <f ca="1">IF(E23="","",_xll.RiskExpon($B$1))</f>
        <v/>
      </c>
      <c r="G23" t="str">
        <f ca="1">IF(F23="","",$B$5+C23*$B$4-SUM($F$2:F23))</f>
        <v/>
      </c>
    </row>
    <row r="24" spans="3:7" x14ac:dyDescent="0.25">
      <c r="C24" t="str">
        <f ca="1">IF(D24="","",INT(SUM($D$2:D24)))</f>
        <v/>
      </c>
      <c r="D24" t="str">
        <f ca="1">IF(SUM($D$2:D23)&gt;$B$3,"",D23+_xll.RiskExpon($B$2))</f>
        <v/>
      </c>
      <c r="E24" t="str">
        <f t="shared" ca="1" si="0"/>
        <v/>
      </c>
      <c r="F24" t="str">
        <f ca="1">IF(E24="","",_xll.RiskExpon($B$1))</f>
        <v/>
      </c>
      <c r="G24" t="str">
        <f ca="1">IF(F24="","",$B$5+C24*$B$4-SUM($F$2:F24))</f>
        <v/>
      </c>
    </row>
    <row r="25" spans="3:7" x14ac:dyDescent="0.25">
      <c r="C25" t="str">
        <f ca="1">IF(D25="","",INT(SUM($D$2:D25)))</f>
        <v/>
      </c>
      <c r="D25" t="str">
        <f ca="1">IF(SUM($D$2:D24)&gt;$B$3,"",D24+_xll.RiskExpon($B$2))</f>
        <v/>
      </c>
      <c r="E25" t="str">
        <f t="shared" ca="1" si="0"/>
        <v/>
      </c>
      <c r="F25" t="str">
        <f ca="1">IF(E25="","",_xll.RiskExpon($B$1))</f>
        <v/>
      </c>
      <c r="G25" t="str">
        <f ca="1">IF(F25="","",$B$5+C25*$B$4-SUM($F$2:F25))</f>
        <v/>
      </c>
    </row>
    <row r="26" spans="3:7" x14ac:dyDescent="0.25">
      <c r="C26" t="str">
        <f ca="1">IF(D26="","",INT(SUM($D$2:D26)))</f>
        <v/>
      </c>
      <c r="D26" t="str">
        <f ca="1">IF(SUM($D$2:D25)&gt;$B$3,"",D25+_xll.RiskExpon($B$2))</f>
        <v/>
      </c>
      <c r="E26" t="str">
        <f t="shared" ca="1" si="0"/>
        <v/>
      </c>
      <c r="F26" t="str">
        <f ca="1">IF(E26="","",_xll.RiskExpon($B$1))</f>
        <v/>
      </c>
      <c r="G26" t="str">
        <f ca="1">IF(F26="","",$B$5+C26*$B$4-SUM($F$2:F26))</f>
        <v/>
      </c>
    </row>
    <row r="27" spans="3:7" x14ac:dyDescent="0.25">
      <c r="C27" t="str">
        <f ca="1">IF(D27="","",INT(SUM($D$2:D27)))</f>
        <v/>
      </c>
      <c r="D27" t="str">
        <f ca="1">IF(SUM($D$2:D26)&gt;$B$3,"",D26+_xll.RiskExpon($B$2))</f>
        <v/>
      </c>
      <c r="E27" t="str">
        <f t="shared" ca="1" si="0"/>
        <v/>
      </c>
      <c r="F27" t="str">
        <f ca="1">IF(E27="","",_xll.RiskExpon($B$1))</f>
        <v/>
      </c>
      <c r="G27" t="str">
        <f ca="1">IF(F27="","",$B$5+C27*$B$4-SUM($F$2:F27))</f>
        <v/>
      </c>
    </row>
    <row r="28" spans="3:7" x14ac:dyDescent="0.25">
      <c r="C28" t="str">
        <f ca="1">IF(D28="","",INT(SUM($D$2:D28)))</f>
        <v/>
      </c>
      <c r="D28" t="str">
        <f ca="1">IF(SUM($D$2:D27)&gt;$B$3,"",D27+_xll.RiskExpon($B$2))</f>
        <v/>
      </c>
      <c r="E28" t="str">
        <f t="shared" ca="1" si="0"/>
        <v/>
      </c>
      <c r="F28" t="str">
        <f ca="1">IF(E28="","",_xll.RiskExpon($B$1))</f>
        <v/>
      </c>
      <c r="G28" t="str">
        <f ca="1">IF(F28="","",$B$5+C28*$B$4-SUM($F$2:F28))</f>
        <v/>
      </c>
    </row>
    <row r="29" spans="3:7" x14ac:dyDescent="0.25">
      <c r="C29" t="str">
        <f ca="1">IF(D29="","",INT(SUM($D$2:D29)))</f>
        <v/>
      </c>
      <c r="D29" t="str">
        <f ca="1">IF(SUM($D$2:D28)&gt;$B$3,"",D28+_xll.RiskExpon($B$2))</f>
        <v/>
      </c>
      <c r="E29" t="str">
        <f t="shared" ca="1" si="0"/>
        <v/>
      </c>
      <c r="F29" t="str">
        <f ca="1">IF(E29="","",_xll.RiskExpon($B$1))</f>
        <v/>
      </c>
      <c r="G29" t="str">
        <f ca="1">IF(F29="","",$B$5+C29*$B$4-SUM($F$2:F29))</f>
        <v/>
      </c>
    </row>
    <row r="30" spans="3:7" x14ac:dyDescent="0.25">
      <c r="C30" t="str">
        <f ca="1">IF(D30="","",INT(SUM($D$2:D30)))</f>
        <v/>
      </c>
      <c r="D30" t="str">
        <f ca="1">IF(SUM($D$2:D29)&gt;$B$3,"",D29+_xll.RiskExpon($B$2))</f>
        <v/>
      </c>
      <c r="E30" t="str">
        <f t="shared" ca="1" si="0"/>
        <v/>
      </c>
      <c r="F30" t="str">
        <f ca="1">IF(E30="","",_xll.RiskExpon($B$1))</f>
        <v/>
      </c>
      <c r="G30" t="str">
        <f ca="1">IF(F30="","",$B$5+C30*$B$4-SUM($F$2:F30))</f>
        <v/>
      </c>
    </row>
    <row r="31" spans="3:7" x14ac:dyDescent="0.25">
      <c r="C31" t="str">
        <f ca="1">IF(D31="","",INT(SUM($D$2:D31)))</f>
        <v/>
      </c>
      <c r="D31" t="str">
        <f ca="1">IF(SUM($D$2:D30)&gt;$B$3,"",D30+_xll.RiskExpon($B$2))</f>
        <v/>
      </c>
      <c r="E31" t="str">
        <f t="shared" ca="1" si="0"/>
        <v/>
      </c>
      <c r="F31" t="str">
        <f ca="1">IF(E31="","",_xll.RiskExpon($B$1))</f>
        <v/>
      </c>
      <c r="G31" t="str">
        <f ca="1">IF(F31="","",$B$5+C31*$B$4-SUM($F$2:F31))</f>
        <v/>
      </c>
    </row>
    <row r="32" spans="3:7" x14ac:dyDescent="0.25">
      <c r="C32" t="str">
        <f ca="1">IF(D32="","",INT(SUM($D$2:D32)))</f>
        <v/>
      </c>
      <c r="D32" t="str">
        <f ca="1">IF(SUM($D$2:D31)&gt;$B$3,"",D31+_xll.RiskExpon($B$2))</f>
        <v/>
      </c>
      <c r="E32" t="str">
        <f t="shared" ca="1" si="0"/>
        <v/>
      </c>
      <c r="F32" t="str">
        <f ca="1">IF(E32="","",_xll.RiskExpon($B$1))</f>
        <v/>
      </c>
      <c r="G32" t="str">
        <f ca="1">IF(F32="","",$B$5+C32*$B$4-SUM($F$2:F32))</f>
        <v/>
      </c>
    </row>
    <row r="33" spans="3:7" x14ac:dyDescent="0.25">
      <c r="C33" t="str">
        <f ca="1">IF(D33="","",INT(SUM($D$2:D33)))</f>
        <v/>
      </c>
      <c r="D33" t="str">
        <f ca="1">IF(SUM($D$2:D32)&gt;$B$3,"",D32+_xll.RiskExpon($B$2))</f>
        <v/>
      </c>
      <c r="E33" t="str">
        <f t="shared" ca="1" si="0"/>
        <v/>
      </c>
      <c r="F33" t="str">
        <f ca="1">IF(E33="","",_xll.RiskExpon($B$1))</f>
        <v/>
      </c>
      <c r="G33" t="str">
        <f ca="1">IF(F33="","",$B$5+C33*$B$4-SUM($F$2:F33))</f>
        <v/>
      </c>
    </row>
    <row r="34" spans="3:7" x14ac:dyDescent="0.25">
      <c r="C34" t="str">
        <f ca="1">IF(D34="","",INT(SUM($D$2:D34)))</f>
        <v/>
      </c>
      <c r="D34" t="str">
        <f ca="1">IF(SUM($D$2:D33)&gt;$B$3,"",D33+_xll.RiskExpon($B$2))</f>
        <v/>
      </c>
      <c r="E34" t="str">
        <f t="shared" ca="1" si="0"/>
        <v/>
      </c>
      <c r="F34" t="str">
        <f ca="1">IF(E34="","",_xll.RiskExpon($B$1))</f>
        <v/>
      </c>
      <c r="G34" t="str">
        <f ca="1">IF(F34="","",$B$5+C34*$B$4-SUM($F$2:F34))</f>
        <v/>
      </c>
    </row>
    <row r="35" spans="3:7" x14ac:dyDescent="0.25">
      <c r="C35" t="str">
        <f ca="1">IF(D35="","",INT(SUM($D$2:D35)))</f>
        <v/>
      </c>
      <c r="D35" t="str">
        <f ca="1">IF(SUM($D$2:D34)&gt;$B$3,"",D34+_xll.RiskExpon($B$2))</f>
        <v/>
      </c>
      <c r="E35" t="str">
        <f t="shared" ca="1" si="0"/>
        <v/>
      </c>
      <c r="F35" t="str">
        <f ca="1">IF(E35="","",_xll.RiskExpon($B$1))</f>
        <v/>
      </c>
      <c r="G35" t="str">
        <f ca="1">IF(F35="","",$B$5+C35*$B$4-SUM($F$2:F35))</f>
        <v/>
      </c>
    </row>
    <row r="36" spans="3:7" x14ac:dyDescent="0.25">
      <c r="C36" t="str">
        <f ca="1">IF(D36="","",INT(SUM($D$2:D36)))</f>
        <v/>
      </c>
      <c r="D36" t="str">
        <f ca="1">IF(SUM($D$2:D35)&gt;$B$3,"",D35+_xll.RiskExpon($B$2))</f>
        <v/>
      </c>
      <c r="E36" t="str">
        <f t="shared" ca="1" si="0"/>
        <v/>
      </c>
      <c r="F36" t="str">
        <f ca="1">IF(E36="","",_xll.RiskExpon($B$1))</f>
        <v/>
      </c>
      <c r="G36" t="str">
        <f ca="1">IF(F36="","",$B$5+C36*$B$4-SUM($F$2:F36))</f>
        <v/>
      </c>
    </row>
    <row r="37" spans="3:7" x14ac:dyDescent="0.25">
      <c r="C37" t="str">
        <f ca="1">IF(D37="","",INT(SUM($D$2:D37)))</f>
        <v/>
      </c>
      <c r="D37" t="str">
        <f ca="1">IF(SUM($D$2:D36)&gt;$B$3,"",D36+_xll.RiskExpon($B$2))</f>
        <v/>
      </c>
      <c r="E37" t="str">
        <f t="shared" ca="1" si="0"/>
        <v/>
      </c>
      <c r="F37" t="str">
        <f ca="1">IF(E37="","",_xll.RiskExpon($B$1))</f>
        <v/>
      </c>
      <c r="G37" t="str">
        <f ca="1">IF(F37="","",$B$5+C37*$B$4-SUM($F$2:F37))</f>
        <v/>
      </c>
    </row>
    <row r="38" spans="3:7" x14ac:dyDescent="0.25">
      <c r="C38" t="str">
        <f ca="1">IF(D38="","",INT(SUM($D$2:D38)))</f>
        <v/>
      </c>
      <c r="D38" t="str">
        <f ca="1">IF(SUM($D$2:D37)&gt;$B$3,"",D37+_xll.RiskExpon($B$2))</f>
        <v/>
      </c>
      <c r="E38" t="str">
        <f t="shared" ca="1" si="0"/>
        <v/>
      </c>
      <c r="F38" t="str">
        <f ca="1">IF(E38="","",_xll.RiskExpon($B$1))</f>
        <v/>
      </c>
      <c r="G38" t="str">
        <f ca="1">IF(F38="","",$B$5+C38*$B$4-SUM($F$2:F38))</f>
        <v/>
      </c>
    </row>
    <row r="39" spans="3:7" x14ac:dyDescent="0.25">
      <c r="C39" t="str">
        <f ca="1">IF(D39="","",INT(SUM($D$2:D39)))</f>
        <v/>
      </c>
      <c r="D39" t="str">
        <f ca="1">IF(SUM($D$2:D38)&gt;$B$3,"",D38+_xll.RiskExpon($B$2))</f>
        <v/>
      </c>
      <c r="E39" t="str">
        <f t="shared" ca="1" si="0"/>
        <v/>
      </c>
      <c r="F39" t="str">
        <f ca="1">IF(E39="","",_xll.RiskExpon($B$1))</f>
        <v/>
      </c>
      <c r="G39" t="str">
        <f ca="1">IF(F39="","",$B$5+C39*$B$4-SUM($F$2:F39))</f>
        <v/>
      </c>
    </row>
    <row r="40" spans="3:7" x14ac:dyDescent="0.25">
      <c r="C40" t="str">
        <f ca="1">IF(D40="","",INT(SUM($D$2:D40)))</f>
        <v/>
      </c>
      <c r="D40" t="str">
        <f ca="1">IF(SUM($D$2:D39)&gt;$B$3,"",D39+_xll.RiskExpon($B$2))</f>
        <v/>
      </c>
      <c r="E40" t="str">
        <f t="shared" ca="1" si="0"/>
        <v/>
      </c>
      <c r="F40" t="str">
        <f ca="1">IF(E40="","",_xll.RiskExpon($B$1))</f>
        <v/>
      </c>
      <c r="G40" t="str">
        <f ca="1">IF(F40="","",$B$5+C40*$B$4-SUM($F$2:F40))</f>
        <v/>
      </c>
    </row>
    <row r="41" spans="3:7" x14ac:dyDescent="0.25">
      <c r="C41" t="str">
        <f ca="1">IF(D41="","",INT(SUM($D$2:D41)))</f>
        <v/>
      </c>
      <c r="D41" t="str">
        <f ca="1">IF(SUM($D$2:D40)&gt;$B$3,"",D40+_xll.RiskExpon($B$2))</f>
        <v/>
      </c>
      <c r="E41" t="str">
        <f t="shared" ca="1" si="0"/>
        <v/>
      </c>
      <c r="F41" t="str">
        <f ca="1">IF(E41="","",_xll.RiskExpon($B$1))</f>
        <v/>
      </c>
      <c r="G41" t="str">
        <f ca="1">IF(F41="","",$B$5+C41*$B$4-SUM($F$2:F41))</f>
        <v/>
      </c>
    </row>
    <row r="42" spans="3:7" x14ac:dyDescent="0.25">
      <c r="C42" t="str">
        <f ca="1">IF(D42="","",INT(SUM($D$2:D42)))</f>
        <v/>
      </c>
      <c r="D42" t="str">
        <f ca="1">IF(SUM($D$2:D41)&gt;$B$3,"",D41+_xll.RiskExpon($B$2))</f>
        <v/>
      </c>
      <c r="E42" t="str">
        <f t="shared" ca="1" si="0"/>
        <v/>
      </c>
      <c r="F42" t="str">
        <f ca="1">IF(E42="","",_xll.RiskExpon($B$1))</f>
        <v/>
      </c>
      <c r="G42" t="str">
        <f ca="1">IF(F42="","",$B$5+C42*$B$4-SUM($F$2:F42))</f>
        <v/>
      </c>
    </row>
    <row r="43" spans="3:7" x14ac:dyDescent="0.25">
      <c r="C43" t="str">
        <f ca="1">IF(D43="","",INT(SUM($D$2:D43)))</f>
        <v/>
      </c>
      <c r="D43" t="str">
        <f ca="1">IF(SUM($D$2:D42)&gt;$B$3,"",D42+_xll.RiskExpon($B$2))</f>
        <v/>
      </c>
      <c r="E43" t="str">
        <f t="shared" ca="1" si="0"/>
        <v/>
      </c>
      <c r="F43" t="str">
        <f ca="1">IF(E43="","",_xll.RiskExpon($B$1))</f>
        <v/>
      </c>
      <c r="G43" t="str">
        <f ca="1">IF(F43="","",$B$5+C43*$B$4-SUM($F$2:F43))</f>
        <v/>
      </c>
    </row>
    <row r="44" spans="3:7" x14ac:dyDescent="0.25">
      <c r="C44" t="str">
        <f ca="1">IF(D44="","",INT(SUM($D$2:D44)))</f>
        <v/>
      </c>
      <c r="D44" t="str">
        <f ca="1">IF(SUM($D$2:D43)&gt;$B$3,"",D43+_xll.RiskExpon($B$2))</f>
        <v/>
      </c>
      <c r="E44" t="str">
        <f t="shared" ca="1" si="0"/>
        <v/>
      </c>
      <c r="F44" t="str">
        <f ca="1">IF(E44="","",_xll.RiskExpon($B$1))</f>
        <v/>
      </c>
      <c r="G44" t="str">
        <f ca="1">IF(F44="","",$B$5+C44*$B$4-SUM($F$2:F44))</f>
        <v/>
      </c>
    </row>
    <row r="45" spans="3:7" x14ac:dyDescent="0.25">
      <c r="C45" t="str">
        <f ca="1">IF(D45="","",INT(SUM($D$2:D45)))</f>
        <v/>
      </c>
      <c r="D45" t="str">
        <f ca="1">IF(SUM($D$2:D44)&gt;$B$3,"",D44+_xll.RiskExpon($B$2))</f>
        <v/>
      </c>
      <c r="E45" t="str">
        <f t="shared" ca="1" si="0"/>
        <v/>
      </c>
      <c r="F45" t="str">
        <f ca="1">IF(E45="","",_xll.RiskExpon($B$1))</f>
        <v/>
      </c>
      <c r="G45" t="str">
        <f ca="1">IF(F45="","",$B$5+C45*$B$4-SUM($F$2:F45))</f>
        <v/>
      </c>
    </row>
    <row r="46" spans="3:7" x14ac:dyDescent="0.25">
      <c r="C46" t="str">
        <f ca="1">IF(D46="","",INT(SUM($D$2:D46)))</f>
        <v/>
      </c>
      <c r="D46" t="str">
        <f ca="1">IF(SUM($D$2:D45)&gt;$B$3,"",D45+_xll.RiskExpon($B$2))</f>
        <v/>
      </c>
      <c r="E46" t="str">
        <f t="shared" ca="1" si="0"/>
        <v/>
      </c>
      <c r="F46" t="str">
        <f ca="1">IF(E46="","",_xll.RiskExpon($B$1))</f>
        <v/>
      </c>
      <c r="G46" t="str">
        <f ca="1">IF(F46="","",$B$5+C46*$B$4-SUM($F$2:F46))</f>
        <v/>
      </c>
    </row>
    <row r="47" spans="3:7" x14ac:dyDescent="0.25">
      <c r="C47" t="str">
        <f ca="1">IF(D47="","",INT(SUM($D$2:D47)))</f>
        <v/>
      </c>
      <c r="D47" t="str">
        <f ca="1">IF(SUM($D$2:D46)&gt;$B$3,"",D46+_xll.RiskExpon($B$2))</f>
        <v/>
      </c>
      <c r="E47" t="str">
        <f t="shared" ca="1" si="0"/>
        <v/>
      </c>
      <c r="F47" t="str">
        <f ca="1">IF(E47="","",_xll.RiskExpon($B$1))</f>
        <v/>
      </c>
      <c r="G47" t="str">
        <f ca="1">IF(F47="","",$B$5+C47*$B$4-SUM($F$2:F47))</f>
        <v/>
      </c>
    </row>
    <row r="48" spans="3:7" x14ac:dyDescent="0.25">
      <c r="C48" t="str">
        <f ca="1">IF(D48="","",INT(SUM($D$2:D48)))</f>
        <v/>
      </c>
      <c r="D48" t="str">
        <f ca="1">IF(SUM($D$2:D47)&gt;$B$3,"",D47+_xll.RiskExpon($B$2))</f>
        <v/>
      </c>
      <c r="E48" t="str">
        <f t="shared" ca="1" si="0"/>
        <v/>
      </c>
      <c r="F48" t="str">
        <f ca="1">IF(E48="","",_xll.RiskExpon($B$1))</f>
        <v/>
      </c>
      <c r="G48" t="str">
        <f ca="1">IF(F48="","",$B$5+C48*$B$4-SUM($F$2:F48))</f>
        <v/>
      </c>
    </row>
    <row r="49" spans="3:7" x14ac:dyDescent="0.25">
      <c r="C49" t="str">
        <f ca="1">IF(D49="","",INT(SUM($D$2:D49)))</f>
        <v/>
      </c>
      <c r="D49" t="str">
        <f ca="1">IF(SUM($D$2:D48)&gt;$B$3,"",D48+_xll.RiskExpon($B$2))</f>
        <v/>
      </c>
      <c r="E49" t="str">
        <f t="shared" ca="1" si="0"/>
        <v/>
      </c>
      <c r="F49" t="str">
        <f ca="1">IF(E49="","",_xll.RiskExpon($B$1))</f>
        <v/>
      </c>
      <c r="G49" t="str">
        <f ca="1">IF(F49="","",$B$5+C49*$B$4-SUM($F$2:F49))</f>
        <v/>
      </c>
    </row>
    <row r="50" spans="3:7" x14ac:dyDescent="0.25">
      <c r="C50" t="str">
        <f ca="1">IF(D50="","",INT(SUM($D$2:D50)))</f>
        <v/>
      </c>
      <c r="D50" t="str">
        <f ca="1">IF(SUM($D$2:D49)&gt;$B$3,"",D49+_xll.RiskExpon($B$2))</f>
        <v/>
      </c>
      <c r="E50" t="str">
        <f t="shared" ca="1" si="0"/>
        <v/>
      </c>
      <c r="F50" t="str">
        <f ca="1">IF(E50="","",_xll.RiskExpon($B$1))</f>
        <v/>
      </c>
      <c r="G50" t="str">
        <f ca="1">IF(F50="","",$B$5+C50*$B$4-SUM($F$2:F50))</f>
        <v/>
      </c>
    </row>
    <row r="51" spans="3:7" x14ac:dyDescent="0.25">
      <c r="C51" t="str">
        <f ca="1">IF(D51="","",INT(SUM($D$2:D51)))</f>
        <v/>
      </c>
      <c r="D51" t="str">
        <f ca="1">IF(SUM($D$2:D50)&gt;$B$3,"",D50+_xll.RiskExpon($B$2))</f>
        <v/>
      </c>
      <c r="E51" t="str">
        <f t="shared" ca="1" si="0"/>
        <v/>
      </c>
      <c r="F51" t="str">
        <f ca="1">IF(E51="","",_xll.RiskExpon($B$1))</f>
        <v/>
      </c>
      <c r="G51" t="str">
        <f ca="1">IF(F51="","",$B$5+C51*$B$4-SUM($F$2:F51))</f>
        <v/>
      </c>
    </row>
    <row r="52" spans="3:7" x14ac:dyDescent="0.25">
      <c r="C52" t="str">
        <f ca="1">IF(D52="","",INT(SUM($D$2:D52)))</f>
        <v/>
      </c>
      <c r="D52" t="str">
        <f ca="1">IF(SUM($D$2:D51)&gt;$B$3,"",D51+_xll.RiskExpon($B$2))</f>
        <v/>
      </c>
      <c r="E52" t="str">
        <f t="shared" ca="1" si="0"/>
        <v/>
      </c>
      <c r="F52" t="str">
        <f ca="1">IF(E52="","",_xll.RiskExpon($B$1))</f>
        <v/>
      </c>
      <c r="G52" t="str">
        <f ca="1">IF(F52="","",$B$5+C52*$B$4-SUM($F$2:F52))</f>
        <v/>
      </c>
    </row>
    <row r="53" spans="3:7" x14ac:dyDescent="0.25">
      <c r="C53" t="str">
        <f ca="1">IF(D53="","",INT(SUM($D$2:D53)))</f>
        <v/>
      </c>
      <c r="D53" t="str">
        <f ca="1">IF(SUM($D$2:D52)&gt;$B$3,"",D52+_xll.RiskExpon($B$2))</f>
        <v/>
      </c>
      <c r="E53" t="str">
        <f t="shared" ca="1" si="0"/>
        <v/>
      </c>
      <c r="F53" t="str">
        <f ca="1">IF(E53="","",_xll.RiskExpon($B$1))</f>
        <v/>
      </c>
      <c r="G53" t="str">
        <f ca="1">IF(F53="","",$B$5+C53*$B$4-SUM($F$2:F53))</f>
        <v/>
      </c>
    </row>
    <row r="54" spans="3:7" x14ac:dyDescent="0.25">
      <c r="C54" t="str">
        <f ca="1">IF(D54="","",INT(SUM($D$2:D54)))</f>
        <v/>
      </c>
      <c r="D54" t="str">
        <f ca="1">IF(SUM($D$2:D53)&gt;$B$3,"",D53+_xll.RiskExpon($B$2))</f>
        <v/>
      </c>
      <c r="E54" t="str">
        <f t="shared" ca="1" si="0"/>
        <v/>
      </c>
      <c r="F54" t="str">
        <f ca="1">IF(E54="","",_xll.RiskExpon($B$1))</f>
        <v/>
      </c>
      <c r="G54" t="str">
        <f ca="1">IF(F54="","",$B$5+C54*$B$4-SUM($F$2:F54))</f>
        <v/>
      </c>
    </row>
    <row r="55" spans="3:7" x14ac:dyDescent="0.25">
      <c r="C55" t="str">
        <f ca="1">IF(D55="","",INT(SUM($D$2:D55)))</f>
        <v/>
      </c>
      <c r="D55" t="str">
        <f ca="1">IF(SUM($D$2:D54)&gt;$B$3,"",D54+_xll.RiskExpon($B$2))</f>
        <v/>
      </c>
      <c r="E55" t="str">
        <f t="shared" ca="1" si="0"/>
        <v/>
      </c>
      <c r="F55" t="str">
        <f ca="1">IF(E55="","",_xll.RiskExpon($B$1))</f>
        <v/>
      </c>
      <c r="G55" t="str">
        <f ca="1">IF(F55="","",$B$5+C55*$B$4-SUM($F$2:F55))</f>
        <v/>
      </c>
    </row>
    <row r="56" spans="3:7" x14ac:dyDescent="0.25">
      <c r="C56" t="str">
        <f ca="1">IF(D56="","",INT(SUM($D$2:D56)))</f>
        <v/>
      </c>
      <c r="D56" t="str">
        <f ca="1">IF(SUM($D$2:D55)&gt;$B$3,"",D55+_xll.RiskExpon($B$2))</f>
        <v/>
      </c>
      <c r="E56" t="str">
        <f t="shared" ca="1" si="0"/>
        <v/>
      </c>
      <c r="F56" t="str">
        <f ca="1">IF(E56="","",_xll.RiskExpon($B$1))</f>
        <v/>
      </c>
      <c r="G56" t="str">
        <f ca="1">IF(F56="","",$B$5+C56*$B$4-SUM($F$2:F56))</f>
        <v/>
      </c>
    </row>
    <row r="57" spans="3:7" x14ac:dyDescent="0.25">
      <c r="C57" t="str">
        <f ca="1">IF(D57="","",INT(SUM($D$2:D57)))</f>
        <v/>
      </c>
      <c r="D57" t="str">
        <f ca="1">IF(SUM($D$2:D56)&gt;$B$3,"",D56+_xll.RiskExpon($B$2))</f>
        <v/>
      </c>
      <c r="E57" t="str">
        <f t="shared" ca="1" si="0"/>
        <v/>
      </c>
      <c r="F57" t="str">
        <f ca="1">IF(E57="","",_xll.RiskExpon($B$1))</f>
        <v/>
      </c>
      <c r="G57" t="str">
        <f ca="1">IF(F57="","",$B$5+C57*$B$4-SUM($F$2:F57))</f>
        <v/>
      </c>
    </row>
    <row r="58" spans="3:7" x14ac:dyDescent="0.25">
      <c r="C58" t="str">
        <f ca="1">IF(D58="","",INT(SUM($D$2:D58)))</f>
        <v/>
      </c>
      <c r="D58" t="str">
        <f ca="1">IF(SUM($D$2:D57)&gt;$B$3,"",D57+_xll.RiskExpon($B$2))</f>
        <v/>
      </c>
      <c r="E58" t="str">
        <f t="shared" ca="1" si="0"/>
        <v/>
      </c>
      <c r="F58" t="str">
        <f ca="1">IF(E58="","",_xll.RiskExpon($B$1))</f>
        <v/>
      </c>
      <c r="G58" t="str">
        <f ca="1">IF(F58="","",$B$5+C58*$B$4-SUM($F$2:F58))</f>
        <v/>
      </c>
    </row>
    <row r="59" spans="3:7" x14ac:dyDescent="0.25">
      <c r="C59" t="str">
        <f ca="1">IF(D59="","",INT(SUM($D$2:D59)))</f>
        <v/>
      </c>
      <c r="D59" t="str">
        <f ca="1">IF(SUM($D$2:D58)&gt;$B$3,"",D58+_xll.RiskExpon($B$2))</f>
        <v/>
      </c>
      <c r="E59" t="str">
        <f t="shared" ca="1" si="0"/>
        <v/>
      </c>
      <c r="F59" t="str">
        <f ca="1">IF(E59="","",_xll.RiskExpon($B$1))</f>
        <v/>
      </c>
      <c r="G59" t="str">
        <f ca="1">IF(F59="","",$B$5+C59*$B$4-SUM($F$2:F59))</f>
        <v/>
      </c>
    </row>
    <row r="60" spans="3:7" x14ac:dyDescent="0.25">
      <c r="C60" t="str">
        <f ca="1">IF(D60="","",INT(SUM($D$2:D60)))</f>
        <v/>
      </c>
      <c r="D60" t="str">
        <f ca="1">IF(SUM($D$2:D59)&gt;$B$3,"",D59+_xll.RiskExpon($B$2))</f>
        <v/>
      </c>
      <c r="E60" t="str">
        <f t="shared" ca="1" si="0"/>
        <v/>
      </c>
      <c r="F60" t="str">
        <f ca="1">IF(E60="","",_xll.RiskExpon($B$1))</f>
        <v/>
      </c>
      <c r="G60" t="str">
        <f ca="1">IF(F60="","",$B$5+C60*$B$4-SUM($F$2:F60))</f>
        <v/>
      </c>
    </row>
    <row r="61" spans="3:7" x14ac:dyDescent="0.25">
      <c r="C61" t="str">
        <f ca="1">IF(D61="","",INT(SUM($D$2:D61)))</f>
        <v/>
      </c>
      <c r="D61" t="str">
        <f ca="1">IF(SUM($D$2:D60)&gt;$B$3,"",D60+_xll.RiskExpon($B$2))</f>
        <v/>
      </c>
      <c r="E61" t="str">
        <f t="shared" ca="1" si="0"/>
        <v/>
      </c>
      <c r="F61" t="str">
        <f ca="1">IF(E61="","",_xll.RiskExpon($B$1))</f>
        <v/>
      </c>
      <c r="G61" t="str">
        <f ca="1">IF(F61="","",$B$5+C61*$B$4-SUM($F$2:F61))</f>
        <v/>
      </c>
    </row>
    <row r="62" spans="3:7" x14ac:dyDescent="0.25">
      <c r="C62" t="str">
        <f ca="1">IF(D62="","",INT(SUM($D$2:D62)))</f>
        <v/>
      </c>
      <c r="D62" t="str">
        <f ca="1">IF(SUM($D$2:D61)&gt;$B$3,"",D61+_xll.RiskExpon($B$2))</f>
        <v/>
      </c>
      <c r="E62" t="str">
        <f t="shared" ca="1" si="0"/>
        <v/>
      </c>
      <c r="F62" t="str">
        <f ca="1">IF(E62="","",_xll.RiskExpon($B$1))</f>
        <v/>
      </c>
      <c r="G62" t="str">
        <f ca="1">IF(F62="","",$B$5+C62*$B$4-SUM($F$2:F62))</f>
        <v/>
      </c>
    </row>
    <row r="63" spans="3:7" x14ac:dyDescent="0.25">
      <c r="C63" t="str">
        <f ca="1">IF(D63="","",INT(SUM($D$2:D63)))</f>
        <v/>
      </c>
      <c r="D63" t="str">
        <f ca="1">IF(SUM($D$2:D62)&gt;$B$3,"",D62+_xll.RiskExpon($B$2))</f>
        <v/>
      </c>
      <c r="E63" t="str">
        <f t="shared" ca="1" si="0"/>
        <v/>
      </c>
      <c r="F63" t="str">
        <f ca="1">IF(E63="","",_xll.RiskExpon($B$1))</f>
        <v/>
      </c>
      <c r="G63" t="str">
        <f ca="1">IF(F63="","",$B$5+C63*$B$4-SUM($F$2:F63))</f>
        <v/>
      </c>
    </row>
    <row r="64" spans="3:7" x14ac:dyDescent="0.25">
      <c r="C64" t="str">
        <f ca="1">IF(D64="","",INT(SUM($D$2:D64)))</f>
        <v/>
      </c>
      <c r="D64" t="str">
        <f ca="1">IF(SUM($D$2:D63)&gt;$B$3,"",D63+_xll.RiskExpon($B$2))</f>
        <v/>
      </c>
      <c r="E64" t="str">
        <f t="shared" ca="1" si="0"/>
        <v/>
      </c>
      <c r="F64" t="str">
        <f ca="1">IF(E64="","",_xll.RiskExpon($B$1))</f>
        <v/>
      </c>
      <c r="G64" t="str">
        <f ca="1">IF(F64="","",$B$5+C64*$B$4-SUM($F$2:F64))</f>
        <v/>
      </c>
    </row>
    <row r="65" spans="3:7" x14ac:dyDescent="0.25">
      <c r="C65" t="str">
        <f ca="1">IF(D65="","",INT(SUM($D$2:D65)))</f>
        <v/>
      </c>
      <c r="D65" t="str">
        <f ca="1">IF(SUM($D$2:D64)&gt;$B$3,"",D64+_xll.RiskExpon($B$2))</f>
        <v/>
      </c>
      <c r="E65" t="str">
        <f t="shared" ca="1" si="0"/>
        <v/>
      </c>
      <c r="F65" t="str">
        <f ca="1">IF(E65="","",_xll.RiskExpon($B$1))</f>
        <v/>
      </c>
      <c r="G65" t="str">
        <f ca="1">IF(F65="","",$B$5+C65*$B$4-SUM($F$2:F65))</f>
        <v/>
      </c>
    </row>
    <row r="66" spans="3:7" x14ac:dyDescent="0.25">
      <c r="C66" t="str">
        <f ca="1">IF(D66="","",INT(SUM($D$2:D66)))</f>
        <v/>
      </c>
      <c r="D66" t="str">
        <f ca="1">IF(SUM($D$2:D65)&gt;$B$3,"",D65+_xll.RiskExpon($B$2))</f>
        <v/>
      </c>
      <c r="E66" t="str">
        <f t="shared" ca="1" si="0"/>
        <v/>
      </c>
      <c r="F66" t="str">
        <f ca="1">IF(E66="","",_xll.RiskExpon($B$1))</f>
        <v/>
      </c>
      <c r="G66" t="str">
        <f ca="1">IF(F66="","",$B$5+C66*$B$4-SUM($F$2:F66))</f>
        <v/>
      </c>
    </row>
    <row r="67" spans="3:7" x14ac:dyDescent="0.25">
      <c r="C67" t="str">
        <f ca="1">IF(D67="","",INT(SUM($D$2:D67)))</f>
        <v/>
      </c>
      <c r="D67" t="str">
        <f ca="1">IF(SUM($D$2:D66)&gt;$B$3,"",D66+_xll.RiskExpon($B$2))</f>
        <v/>
      </c>
      <c r="E67" t="str">
        <f t="shared" ref="E67:E130" ca="1" si="1">IF(E66&lt;$B$6,E66+1,"")</f>
        <v/>
      </c>
      <c r="F67" t="str">
        <f ca="1">IF(E67="","",_xll.RiskExpon($B$1))</f>
        <v/>
      </c>
      <c r="G67" t="str">
        <f ca="1">IF(F67="","",$B$5+C67*$B$4-SUM($F$2:F67))</f>
        <v/>
      </c>
    </row>
    <row r="68" spans="3:7" x14ac:dyDescent="0.25">
      <c r="C68" t="str">
        <f ca="1">IF(D68="","",INT(SUM($D$2:D68)))</f>
        <v/>
      </c>
      <c r="D68" t="str">
        <f ca="1">IF(SUM($D$2:D67)&gt;$B$3,"",D67+_xll.RiskExpon($B$2))</f>
        <v/>
      </c>
      <c r="E68" t="str">
        <f t="shared" ca="1" si="1"/>
        <v/>
      </c>
      <c r="F68" t="str">
        <f ca="1">IF(E68="","",_xll.RiskExpon($B$1))</f>
        <v/>
      </c>
      <c r="G68" t="str">
        <f ca="1">IF(F68="","",$B$5+C68*$B$4-SUM($F$2:F68))</f>
        <v/>
      </c>
    </row>
    <row r="69" spans="3:7" x14ac:dyDescent="0.25">
      <c r="C69" t="str">
        <f ca="1">IF(D69="","",INT(SUM($D$2:D69)))</f>
        <v/>
      </c>
      <c r="D69" t="str">
        <f ca="1">IF(SUM($D$2:D68)&gt;$B$3,"",D68+_xll.RiskExpon($B$2))</f>
        <v/>
      </c>
      <c r="E69" t="str">
        <f t="shared" ca="1" si="1"/>
        <v/>
      </c>
      <c r="F69" t="str">
        <f ca="1">IF(E69="","",_xll.RiskExpon($B$1))</f>
        <v/>
      </c>
      <c r="G69" t="str">
        <f ca="1">IF(F69="","",$B$5+C69*$B$4-SUM($F$2:F69))</f>
        <v/>
      </c>
    </row>
    <row r="70" spans="3:7" x14ac:dyDescent="0.25">
      <c r="C70" t="str">
        <f ca="1">IF(D70="","",INT(SUM($D$2:D70)))</f>
        <v/>
      </c>
      <c r="D70" t="str">
        <f ca="1">IF(SUM($D$2:D69)&gt;$B$3,"",D69+_xll.RiskExpon($B$2))</f>
        <v/>
      </c>
      <c r="E70" t="str">
        <f t="shared" ca="1" si="1"/>
        <v/>
      </c>
      <c r="F70" t="str">
        <f ca="1">IF(E70="","",_xll.RiskExpon($B$1))</f>
        <v/>
      </c>
      <c r="G70" t="str">
        <f ca="1">IF(F70="","",$B$5+C70*$B$4-SUM($F$2:F70))</f>
        <v/>
      </c>
    </row>
    <row r="71" spans="3:7" x14ac:dyDescent="0.25">
      <c r="C71" t="str">
        <f ca="1">IF(D71="","",INT(SUM($D$2:D71)))</f>
        <v/>
      </c>
      <c r="D71" t="str">
        <f ca="1">IF(SUM($D$2:D70)&gt;$B$3,"",D70+_xll.RiskExpon($B$2))</f>
        <v/>
      </c>
      <c r="E71" t="str">
        <f t="shared" ca="1" si="1"/>
        <v/>
      </c>
      <c r="F71" t="str">
        <f ca="1">IF(E71="","",_xll.RiskExpon($B$1))</f>
        <v/>
      </c>
      <c r="G71" t="str">
        <f ca="1">IF(F71="","",$B$5+C71*$B$4-SUM($F$2:F71))</f>
        <v/>
      </c>
    </row>
    <row r="72" spans="3:7" x14ac:dyDescent="0.25">
      <c r="C72" t="str">
        <f ca="1">IF(D72="","",INT(SUM($D$2:D72)))</f>
        <v/>
      </c>
      <c r="D72" t="str">
        <f ca="1">IF(SUM($D$2:D71)&gt;$B$3,"",D71+_xll.RiskExpon($B$2))</f>
        <v/>
      </c>
      <c r="E72" t="str">
        <f t="shared" ca="1" si="1"/>
        <v/>
      </c>
      <c r="F72" t="str">
        <f ca="1">IF(E72="","",_xll.RiskExpon($B$1))</f>
        <v/>
      </c>
      <c r="G72" t="str">
        <f ca="1">IF(F72="","",$B$5+C72*$B$4-SUM($F$2:F72))</f>
        <v/>
      </c>
    </row>
    <row r="73" spans="3:7" x14ac:dyDescent="0.25">
      <c r="C73" t="str">
        <f ca="1">IF(D73="","",INT(SUM($D$2:D73)))</f>
        <v/>
      </c>
      <c r="D73" t="str">
        <f ca="1">IF(SUM($D$2:D72)&gt;$B$3,"",D72+_xll.RiskExpon($B$2))</f>
        <v/>
      </c>
      <c r="E73" t="str">
        <f t="shared" ca="1" si="1"/>
        <v/>
      </c>
      <c r="F73" t="str">
        <f ca="1">IF(E73="","",_xll.RiskExpon($B$1))</f>
        <v/>
      </c>
      <c r="G73" t="str">
        <f ca="1">IF(F73="","",$B$5+C73*$B$4-SUM($F$2:F73))</f>
        <v/>
      </c>
    </row>
    <row r="74" spans="3:7" x14ac:dyDescent="0.25">
      <c r="C74" t="str">
        <f ca="1">IF(D74="","",INT(SUM($D$2:D74)))</f>
        <v/>
      </c>
      <c r="D74" t="str">
        <f ca="1">IF(SUM($D$2:D73)&gt;$B$3,"",D73+_xll.RiskExpon($B$2))</f>
        <v/>
      </c>
      <c r="E74" t="str">
        <f t="shared" ca="1" si="1"/>
        <v/>
      </c>
      <c r="F74" t="str">
        <f ca="1">IF(E74="","",_xll.RiskExpon($B$1))</f>
        <v/>
      </c>
      <c r="G74" t="str">
        <f ca="1">IF(F74="","",$B$5+C74*$B$4-SUM($F$2:F74))</f>
        <v/>
      </c>
    </row>
    <row r="75" spans="3:7" x14ac:dyDescent="0.25">
      <c r="C75" t="str">
        <f ca="1">IF(D75="","",INT(SUM($D$2:D75)))</f>
        <v/>
      </c>
      <c r="D75" t="str">
        <f ca="1">IF(SUM($D$2:D74)&gt;$B$3,"",D74+_xll.RiskExpon($B$2))</f>
        <v/>
      </c>
      <c r="E75" t="str">
        <f t="shared" ca="1" si="1"/>
        <v/>
      </c>
      <c r="F75" t="str">
        <f ca="1">IF(E75="","",_xll.RiskExpon($B$1))</f>
        <v/>
      </c>
      <c r="G75" t="str">
        <f ca="1">IF(F75="","",$B$5+C75*$B$4-SUM($F$2:F75))</f>
        <v/>
      </c>
    </row>
    <row r="76" spans="3:7" x14ac:dyDescent="0.25">
      <c r="C76" t="str">
        <f ca="1">IF(D76="","",INT(SUM($D$2:D76)))</f>
        <v/>
      </c>
      <c r="D76" t="str">
        <f ca="1">IF(SUM($D$2:D75)&gt;$B$3,"",D75+_xll.RiskExpon($B$2))</f>
        <v/>
      </c>
      <c r="E76" t="str">
        <f t="shared" ca="1" si="1"/>
        <v/>
      </c>
      <c r="F76" t="str">
        <f ca="1">IF(E76="","",_xll.RiskExpon($B$1))</f>
        <v/>
      </c>
      <c r="G76" t="str">
        <f ca="1">IF(F76="","",$B$5+C76*$B$4-SUM($F$2:F76))</f>
        <v/>
      </c>
    </row>
    <row r="77" spans="3:7" x14ac:dyDescent="0.25">
      <c r="C77" t="str">
        <f ca="1">IF(D77="","",INT(SUM($D$2:D77)))</f>
        <v/>
      </c>
      <c r="D77" t="str">
        <f ca="1">IF(SUM($D$2:D76)&gt;$B$3,"",D76+_xll.RiskExpon($B$2))</f>
        <v/>
      </c>
      <c r="E77" t="str">
        <f t="shared" ca="1" si="1"/>
        <v/>
      </c>
      <c r="F77" t="str">
        <f ca="1">IF(E77="","",_xll.RiskExpon($B$1))</f>
        <v/>
      </c>
      <c r="G77" t="str">
        <f ca="1">IF(F77="","",$B$5+C77*$B$4-SUM($F$2:F77))</f>
        <v/>
      </c>
    </row>
    <row r="78" spans="3:7" x14ac:dyDescent="0.25">
      <c r="C78" t="str">
        <f ca="1">IF(D78="","",INT(SUM($D$2:D78)))</f>
        <v/>
      </c>
      <c r="D78" t="str">
        <f ca="1">IF(SUM($D$2:D77)&gt;$B$3,"",D77+_xll.RiskExpon($B$2))</f>
        <v/>
      </c>
      <c r="E78" t="str">
        <f t="shared" ca="1" si="1"/>
        <v/>
      </c>
      <c r="F78" t="str">
        <f ca="1">IF(E78="","",_xll.RiskExpon($B$1))</f>
        <v/>
      </c>
      <c r="G78" t="str">
        <f ca="1">IF(F78="","",$B$5+C78*$B$4-SUM($F$2:F78))</f>
        <v/>
      </c>
    </row>
    <row r="79" spans="3:7" x14ac:dyDescent="0.25">
      <c r="C79" t="str">
        <f ca="1">IF(D79="","",INT(SUM($D$2:D79)))</f>
        <v/>
      </c>
      <c r="D79" t="str">
        <f ca="1">IF(SUM($D$2:D78)&gt;$B$3,"",D78+_xll.RiskExpon($B$2))</f>
        <v/>
      </c>
      <c r="E79" t="str">
        <f t="shared" ca="1" si="1"/>
        <v/>
      </c>
      <c r="F79" t="str">
        <f ca="1">IF(E79="","",_xll.RiskExpon($B$1))</f>
        <v/>
      </c>
      <c r="G79" t="str">
        <f ca="1">IF(F79="","",$B$5+C79*$B$4-SUM($F$2:F79))</f>
        <v/>
      </c>
    </row>
    <row r="80" spans="3:7" x14ac:dyDescent="0.25">
      <c r="C80" t="str">
        <f ca="1">IF(D80="","",INT(SUM($D$2:D80)))</f>
        <v/>
      </c>
      <c r="D80" t="str">
        <f ca="1">IF(SUM($D$2:D79)&gt;$B$3,"",D79+_xll.RiskExpon($B$2))</f>
        <v/>
      </c>
      <c r="E80" t="str">
        <f t="shared" ca="1" si="1"/>
        <v/>
      </c>
      <c r="F80" t="str">
        <f ca="1">IF(E80="","",_xll.RiskExpon($B$1))</f>
        <v/>
      </c>
      <c r="G80" t="str">
        <f ca="1">IF(F80="","",$B$5+C80*$B$4-SUM($F$2:F80))</f>
        <v/>
      </c>
    </row>
    <row r="81" spans="3:7" x14ac:dyDescent="0.25">
      <c r="C81" t="str">
        <f ca="1">IF(D81="","",INT(SUM($D$2:D81)))</f>
        <v/>
      </c>
      <c r="D81" t="str">
        <f ca="1">IF(SUM($D$2:D80)&gt;$B$3,"",D80+_xll.RiskExpon($B$2))</f>
        <v/>
      </c>
      <c r="E81" t="str">
        <f t="shared" ca="1" si="1"/>
        <v/>
      </c>
      <c r="F81" t="str">
        <f ca="1">IF(E81="","",_xll.RiskExpon($B$1))</f>
        <v/>
      </c>
      <c r="G81" t="str">
        <f ca="1">IF(F81="","",$B$5+C81*$B$4-SUM($F$2:F81))</f>
        <v/>
      </c>
    </row>
    <row r="82" spans="3:7" x14ac:dyDescent="0.25">
      <c r="C82" t="str">
        <f ca="1">IF(D82="","",INT(SUM($D$2:D82)))</f>
        <v/>
      </c>
      <c r="D82" t="str">
        <f ca="1">IF(SUM($D$2:D81)&gt;$B$3,"",D81+_xll.RiskExpon($B$2))</f>
        <v/>
      </c>
      <c r="E82" t="str">
        <f t="shared" ca="1" si="1"/>
        <v/>
      </c>
      <c r="F82" t="str">
        <f ca="1">IF(E82="","",_xll.RiskExpon($B$1))</f>
        <v/>
      </c>
      <c r="G82" t="str">
        <f ca="1">IF(F82="","",$B$5+C82*$B$4-SUM($F$2:F82))</f>
        <v/>
      </c>
    </row>
    <row r="83" spans="3:7" x14ac:dyDescent="0.25">
      <c r="C83" t="str">
        <f ca="1">IF(D83="","",INT(SUM($D$2:D83)))</f>
        <v/>
      </c>
      <c r="D83" t="str">
        <f ca="1">IF(SUM($D$2:D82)&gt;$B$3,"",D82+_xll.RiskExpon($B$2))</f>
        <v/>
      </c>
      <c r="E83" t="str">
        <f t="shared" ca="1" si="1"/>
        <v/>
      </c>
      <c r="F83" t="str">
        <f ca="1">IF(E83="","",_xll.RiskExpon($B$1))</f>
        <v/>
      </c>
      <c r="G83" t="str">
        <f ca="1">IF(F83="","",$B$5+C83*$B$4-SUM($F$2:F83))</f>
        <v/>
      </c>
    </row>
    <row r="84" spans="3:7" x14ac:dyDescent="0.25">
      <c r="C84" t="str">
        <f ca="1">IF(D84="","",INT(SUM($D$2:D84)))</f>
        <v/>
      </c>
      <c r="D84" t="str">
        <f ca="1">IF(SUM($D$2:D83)&gt;$B$3,"",D83+_xll.RiskExpon($B$2))</f>
        <v/>
      </c>
      <c r="E84" t="str">
        <f t="shared" ca="1" si="1"/>
        <v/>
      </c>
      <c r="F84" t="str">
        <f ca="1">IF(E84="","",_xll.RiskExpon($B$1))</f>
        <v/>
      </c>
      <c r="G84" t="str">
        <f ca="1">IF(F84="","",$B$5+C84*$B$4-SUM($F$2:F84))</f>
        <v/>
      </c>
    </row>
    <row r="85" spans="3:7" x14ac:dyDescent="0.25">
      <c r="C85" t="str">
        <f ca="1">IF(D85="","",INT(SUM($D$2:D85)))</f>
        <v/>
      </c>
      <c r="D85" t="str">
        <f ca="1">IF(SUM($D$2:D84)&gt;$B$3,"",D84+_xll.RiskExpon($B$2))</f>
        <v/>
      </c>
      <c r="E85" t="str">
        <f t="shared" ca="1" si="1"/>
        <v/>
      </c>
      <c r="F85" t="str">
        <f ca="1">IF(E85="","",_xll.RiskExpon($B$1))</f>
        <v/>
      </c>
      <c r="G85" t="str">
        <f ca="1">IF(F85="","",$B$5+C85*$B$4-SUM($F$2:F85))</f>
        <v/>
      </c>
    </row>
    <row r="86" spans="3:7" x14ac:dyDescent="0.25">
      <c r="C86" t="str">
        <f ca="1">IF(D86="","",INT(SUM($D$2:D86)))</f>
        <v/>
      </c>
      <c r="D86" t="str">
        <f ca="1">IF(SUM($D$2:D85)&gt;$B$3,"",D85+_xll.RiskExpon($B$2))</f>
        <v/>
      </c>
      <c r="E86" t="str">
        <f t="shared" ca="1" si="1"/>
        <v/>
      </c>
      <c r="F86" t="str">
        <f ca="1">IF(E86="","",_xll.RiskExpon($B$1))</f>
        <v/>
      </c>
      <c r="G86" t="str">
        <f ca="1">IF(F86="","",$B$5+C86*$B$4-SUM($F$2:F86))</f>
        <v/>
      </c>
    </row>
    <row r="87" spans="3:7" x14ac:dyDescent="0.25">
      <c r="C87" t="str">
        <f ca="1">IF(D87="","",INT(SUM($D$2:D87)))</f>
        <v/>
      </c>
      <c r="D87" t="str">
        <f ca="1">IF(SUM($D$2:D86)&gt;$B$3,"",D86+_xll.RiskExpon($B$2))</f>
        <v/>
      </c>
      <c r="E87" t="str">
        <f t="shared" ca="1" si="1"/>
        <v/>
      </c>
      <c r="F87" t="str">
        <f ca="1">IF(E87="","",_xll.RiskExpon($B$1))</f>
        <v/>
      </c>
      <c r="G87" t="str">
        <f ca="1">IF(F87="","",$B$5+C87*$B$4-SUM($F$2:F87))</f>
        <v/>
      </c>
    </row>
    <row r="88" spans="3:7" x14ac:dyDescent="0.25">
      <c r="C88" t="str">
        <f ca="1">IF(D88="","",INT(SUM($D$2:D88)))</f>
        <v/>
      </c>
      <c r="D88" t="str">
        <f ca="1">IF(SUM($D$2:D87)&gt;$B$3,"",D87+_xll.RiskExpon($B$2))</f>
        <v/>
      </c>
      <c r="E88" t="str">
        <f t="shared" ca="1" si="1"/>
        <v/>
      </c>
      <c r="F88" t="str">
        <f ca="1">IF(E88="","",_xll.RiskExpon($B$1))</f>
        <v/>
      </c>
      <c r="G88" t="str">
        <f ca="1">IF(F88="","",$B$5+C88*$B$4-SUM($F$2:F88))</f>
        <v/>
      </c>
    </row>
    <row r="89" spans="3:7" x14ac:dyDescent="0.25">
      <c r="C89" t="str">
        <f ca="1">IF(D89="","",INT(SUM($D$2:D89)))</f>
        <v/>
      </c>
      <c r="D89" t="str">
        <f ca="1">IF(SUM($D$2:D88)&gt;$B$3,"",D88+_xll.RiskExpon($B$2))</f>
        <v/>
      </c>
      <c r="E89" t="str">
        <f t="shared" ca="1" si="1"/>
        <v/>
      </c>
      <c r="F89" t="str">
        <f ca="1">IF(E89="","",_xll.RiskExpon($B$1))</f>
        <v/>
      </c>
      <c r="G89" t="str">
        <f ca="1">IF(F89="","",$B$5+C89*$B$4-SUM($F$2:F89))</f>
        <v/>
      </c>
    </row>
    <row r="90" spans="3:7" x14ac:dyDescent="0.25">
      <c r="C90" t="str">
        <f ca="1">IF(D90="","",INT(SUM($D$2:D90)))</f>
        <v/>
      </c>
      <c r="D90" t="str">
        <f ca="1">IF(SUM($D$2:D89)&gt;$B$3,"",D89+_xll.RiskExpon($B$2))</f>
        <v/>
      </c>
      <c r="E90" t="str">
        <f t="shared" ca="1" si="1"/>
        <v/>
      </c>
      <c r="F90" t="str">
        <f ca="1">IF(E90="","",_xll.RiskExpon($B$1))</f>
        <v/>
      </c>
      <c r="G90" t="str">
        <f ca="1">IF(F90="","",$B$5+C90*$B$4-SUM($F$2:F90))</f>
        <v/>
      </c>
    </row>
    <row r="91" spans="3:7" x14ac:dyDescent="0.25">
      <c r="C91" t="str">
        <f ca="1">IF(D91="","",INT(SUM($D$2:D91)))</f>
        <v/>
      </c>
      <c r="D91" t="str">
        <f ca="1">IF(SUM($D$2:D90)&gt;$B$3,"",D90+_xll.RiskExpon($B$2))</f>
        <v/>
      </c>
      <c r="E91" t="str">
        <f t="shared" ca="1" si="1"/>
        <v/>
      </c>
      <c r="F91" t="str">
        <f ca="1">IF(E91="","",_xll.RiskExpon($B$1))</f>
        <v/>
      </c>
      <c r="G91" t="str">
        <f ca="1">IF(F91="","",$B$5+C91*$B$4-SUM($F$2:F91))</f>
        <v/>
      </c>
    </row>
    <row r="92" spans="3:7" x14ac:dyDescent="0.25">
      <c r="C92" t="str">
        <f ca="1">IF(D92="","",INT(SUM($D$2:D92)))</f>
        <v/>
      </c>
      <c r="D92" t="str">
        <f ca="1">IF(SUM($D$2:D91)&gt;$B$3,"",D91+_xll.RiskExpon($B$2))</f>
        <v/>
      </c>
      <c r="E92" t="str">
        <f t="shared" ca="1" si="1"/>
        <v/>
      </c>
      <c r="F92" t="str">
        <f ca="1">IF(E92="","",_xll.RiskExpon($B$1))</f>
        <v/>
      </c>
      <c r="G92" t="str">
        <f ca="1">IF(F92="","",$B$5+C92*$B$4-SUM($F$2:F92))</f>
        <v/>
      </c>
    </row>
    <row r="93" spans="3:7" x14ac:dyDescent="0.25">
      <c r="C93" t="str">
        <f ca="1">IF(D93="","",INT(SUM($D$2:D93)))</f>
        <v/>
      </c>
      <c r="D93" t="str">
        <f ca="1">IF(SUM($D$2:D92)&gt;$B$3,"",D92+_xll.RiskExpon($B$2))</f>
        <v/>
      </c>
      <c r="E93" t="str">
        <f t="shared" ca="1" si="1"/>
        <v/>
      </c>
      <c r="F93" t="str">
        <f ca="1">IF(E93="","",_xll.RiskExpon($B$1))</f>
        <v/>
      </c>
      <c r="G93" t="str">
        <f ca="1">IF(F93="","",$B$5+C93*$B$4-SUM($F$2:F93))</f>
        <v/>
      </c>
    </row>
    <row r="94" spans="3:7" x14ac:dyDescent="0.25">
      <c r="C94" t="str">
        <f ca="1">IF(D94="","",INT(SUM($D$2:D94)))</f>
        <v/>
      </c>
      <c r="D94" t="str">
        <f ca="1">IF(SUM($D$2:D93)&gt;$B$3,"",D93+_xll.RiskExpon($B$2))</f>
        <v/>
      </c>
      <c r="E94" t="str">
        <f t="shared" ca="1" si="1"/>
        <v/>
      </c>
      <c r="F94" t="str">
        <f ca="1">IF(E94="","",_xll.RiskExpon($B$1))</f>
        <v/>
      </c>
      <c r="G94" t="str">
        <f ca="1">IF(F94="","",$B$5+C94*$B$4-SUM($F$2:F94))</f>
        <v/>
      </c>
    </row>
    <row r="95" spans="3:7" x14ac:dyDescent="0.25">
      <c r="C95" t="str">
        <f ca="1">IF(D95="","",INT(SUM($D$2:D95)))</f>
        <v/>
      </c>
      <c r="D95" t="str">
        <f ca="1">IF(SUM($D$2:D94)&gt;$B$3,"",D94+_xll.RiskExpon($B$2))</f>
        <v/>
      </c>
      <c r="E95" t="str">
        <f t="shared" ca="1" si="1"/>
        <v/>
      </c>
      <c r="F95" t="str">
        <f ca="1">IF(E95="","",_xll.RiskExpon($B$1))</f>
        <v/>
      </c>
      <c r="G95" t="str">
        <f ca="1">IF(F95="","",$B$5+C95*$B$4-SUM($F$2:F95))</f>
        <v/>
      </c>
    </row>
    <row r="96" spans="3:7" x14ac:dyDescent="0.25">
      <c r="C96" t="str">
        <f ca="1">IF(D96="","",INT(SUM($D$2:D96)))</f>
        <v/>
      </c>
      <c r="D96" t="str">
        <f ca="1">IF(SUM($D$2:D95)&gt;$B$3,"",D95+_xll.RiskExpon($B$2))</f>
        <v/>
      </c>
      <c r="E96" t="str">
        <f t="shared" ca="1" si="1"/>
        <v/>
      </c>
      <c r="F96" t="str">
        <f ca="1">IF(E96="","",_xll.RiskExpon($B$1))</f>
        <v/>
      </c>
      <c r="G96" t="str">
        <f ca="1">IF(F96="","",$B$5+C96*$B$4-SUM($F$2:F96))</f>
        <v/>
      </c>
    </row>
    <row r="97" spans="3:7" x14ac:dyDescent="0.25">
      <c r="C97" t="str">
        <f ca="1">IF(D97="","",INT(SUM($D$2:D97)))</f>
        <v/>
      </c>
      <c r="D97" t="str">
        <f ca="1">IF(SUM($D$2:D96)&gt;$B$3,"",D96+_xll.RiskExpon($B$2))</f>
        <v/>
      </c>
      <c r="E97" t="str">
        <f t="shared" ca="1" si="1"/>
        <v/>
      </c>
      <c r="F97" t="str">
        <f ca="1">IF(E97="","",_xll.RiskExpon($B$1))</f>
        <v/>
      </c>
      <c r="G97" t="str">
        <f ca="1">IF(F97="","",$B$5+C97*$B$4-SUM($F$2:F97))</f>
        <v/>
      </c>
    </row>
    <row r="98" spans="3:7" x14ac:dyDescent="0.25">
      <c r="C98" t="str">
        <f ca="1">IF(D98="","",INT(SUM($D$2:D98)))</f>
        <v/>
      </c>
      <c r="D98" t="str">
        <f ca="1">IF(SUM($D$2:D97)&gt;$B$3,"",D97+_xll.RiskExpon($B$2))</f>
        <v/>
      </c>
      <c r="E98" t="str">
        <f t="shared" ca="1" si="1"/>
        <v/>
      </c>
      <c r="F98" t="str">
        <f ca="1">IF(E98="","",_xll.RiskExpon($B$1))</f>
        <v/>
      </c>
      <c r="G98" t="str">
        <f ca="1">IF(F98="","",$B$5+C98*$B$4-SUM($F$2:F98))</f>
        <v/>
      </c>
    </row>
    <row r="99" spans="3:7" x14ac:dyDescent="0.25">
      <c r="C99" t="str">
        <f ca="1">IF(D99="","",INT(SUM($D$2:D99)))</f>
        <v/>
      </c>
      <c r="D99" t="str">
        <f ca="1">IF(SUM($D$2:D98)&gt;$B$3,"",D98+_xll.RiskExpon($B$2))</f>
        <v/>
      </c>
      <c r="E99" t="str">
        <f t="shared" ca="1" si="1"/>
        <v/>
      </c>
      <c r="F99" t="str">
        <f ca="1">IF(E99="","",_xll.RiskExpon($B$1))</f>
        <v/>
      </c>
      <c r="G99" t="str">
        <f ca="1">IF(F99="","",$B$5+C99*$B$4-SUM($F$2:F99))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IF(SUM($D$2:D99)&gt;$B$3,"",D99+_xll.RiskExpon($B$2))</f>
        <v/>
      </c>
      <c r="E100" t="str">
        <f t="shared" ca="1" si="1"/>
        <v/>
      </c>
      <c r="F100" t="str">
        <f ca="1">IF(E100="","",_xll.RiskExpon($B$1))</f>
        <v/>
      </c>
      <c r="G100" t="str">
        <f ca="1">IF(F100="","",$B$5+C100*$B$4-SUM($F$2:F100))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IF(SUM($D$2:D100)&gt;$B$3,"",D100+_xll.RiskExpon($B$2))</f>
        <v/>
      </c>
      <c r="E101" t="str">
        <f t="shared" ca="1" si="1"/>
        <v/>
      </c>
      <c r="F101" t="str">
        <f ca="1">IF(E101="","",_xll.RiskExpon($B$1))</f>
        <v/>
      </c>
      <c r="G101" t="str">
        <f ca="1">IF(F101="","",$B$5+C101*$B$4-SUM($F$2:F101))</f>
        <v/>
      </c>
    </row>
    <row r="102" spans="3:7" x14ac:dyDescent="0.25">
      <c r="D102" t="str">
        <f ca="1">IF(SUM($D$2:D101)&gt;$B$3,"",D101+_xll.RiskExpon($B$2))</f>
        <v/>
      </c>
      <c r="E102" t="str">
        <f t="shared" ca="1" si="1"/>
        <v/>
      </c>
      <c r="F102" t="str">
        <f ca="1">IF(E102="","",_xll.RiskExpon($B$1))</f>
        <v/>
      </c>
      <c r="G102" t="str">
        <f ca="1">IF(F102="","",$B$5+C102*$B$4-SUM($F$2:F102))</f>
        <v/>
      </c>
    </row>
    <row r="103" spans="3:7" x14ac:dyDescent="0.25">
      <c r="D103" t="str">
        <f ca="1">IF(SUM($D$2:D102)&gt;$B$3,"",D102+_xll.RiskExpon($B$2))</f>
        <v/>
      </c>
      <c r="E103" t="str">
        <f t="shared" ca="1" si="1"/>
        <v/>
      </c>
      <c r="F103" t="str">
        <f ca="1">IF(E103="","",_xll.RiskExpon($B$1))</f>
        <v/>
      </c>
      <c r="G103" t="str">
        <f ca="1">IF(F103="","",$B$5+C103*$B$4-SUM($F$2:F103))</f>
        <v/>
      </c>
    </row>
    <row r="104" spans="3:7" x14ac:dyDescent="0.25">
      <c r="D104" t="str">
        <f ca="1">IF(SUM($D$2:D103)&gt;$B$3,"",D103+_xll.RiskExpon($B$2))</f>
        <v/>
      </c>
      <c r="E104" t="str">
        <f t="shared" ca="1" si="1"/>
        <v/>
      </c>
      <c r="F104" t="str">
        <f ca="1">IF(E104="","",_xll.RiskExpon($B$1))</f>
        <v/>
      </c>
      <c r="G104" t="str">
        <f ca="1">IF(F104="","",$B$5+C104*$B$4-SUM($F$2:F104))</f>
        <v/>
      </c>
    </row>
    <row r="105" spans="3:7" x14ac:dyDescent="0.25">
      <c r="D105" t="str">
        <f ca="1">IF(SUM($D$2:D104)&gt;$B$3,"",D104+_xll.RiskExpon($B$2))</f>
        <v/>
      </c>
      <c r="E105" t="str">
        <f t="shared" ca="1" si="1"/>
        <v/>
      </c>
      <c r="F105" t="str">
        <f ca="1">IF(E105="","",_xll.RiskExpon($B$1))</f>
        <v/>
      </c>
      <c r="G105" t="str">
        <f ca="1">IF(F105="","",$B$5+C105*$B$4-SUM($F$2:F105))</f>
        <v/>
      </c>
    </row>
    <row r="106" spans="3:7" x14ac:dyDescent="0.25">
      <c r="D106" t="str">
        <f ca="1">IF(SUM($D$2:D105)&gt;$B$3,"",D105+_xll.RiskExpon($B$2))</f>
        <v/>
      </c>
      <c r="E106" t="str">
        <f t="shared" ca="1" si="1"/>
        <v/>
      </c>
      <c r="F106" t="str">
        <f ca="1">IF(E106="","",_xll.RiskExpon($B$1))</f>
        <v/>
      </c>
      <c r="G106" t="str">
        <f ca="1">IF(F106="","",$B$5+C106*$B$4-SUM($F$2:F106))</f>
        <v/>
      </c>
    </row>
    <row r="107" spans="3:7" x14ac:dyDescent="0.25">
      <c r="D107" t="str">
        <f ca="1">IF(SUM($D$2:D106)&gt;$B$3,"",D106+_xll.RiskExpon($B$2))</f>
        <v/>
      </c>
      <c r="E107" t="str">
        <f t="shared" ca="1" si="1"/>
        <v/>
      </c>
      <c r="F107" t="str">
        <f ca="1">IF(E107="","",_xll.RiskExpon($B$1))</f>
        <v/>
      </c>
      <c r="G107" t="str">
        <f ca="1">IF(F107="","",$B$5+C107*$B$4-SUM($F$2:F107))</f>
        <v/>
      </c>
    </row>
    <row r="108" spans="3:7" x14ac:dyDescent="0.25">
      <c r="D108" t="str">
        <f ca="1">IF(SUM($D$2:D107)&gt;$B$3,"",D107+_xll.RiskExpon($B$2))</f>
        <v/>
      </c>
      <c r="E108" t="str">
        <f t="shared" ca="1" si="1"/>
        <v/>
      </c>
      <c r="F108" t="str">
        <f ca="1">IF(E108="","",_xll.RiskExpon($B$1))</f>
        <v/>
      </c>
      <c r="G108" t="str">
        <f ca="1">IF(F108="","",$B$5+C108*$B$4-SUM($F$2:F108))</f>
        <v/>
      </c>
    </row>
    <row r="109" spans="3:7" x14ac:dyDescent="0.25">
      <c r="D109" t="str">
        <f ca="1">IF(SUM($D$2:D108)&gt;$B$3,"",D108+_xll.RiskExpon($B$2))</f>
        <v/>
      </c>
      <c r="E109" t="str">
        <f t="shared" ca="1" si="1"/>
        <v/>
      </c>
      <c r="F109" t="str">
        <f ca="1">IF(E109="","",_xll.RiskExpon($B$1))</f>
        <v/>
      </c>
      <c r="G109" t="str">
        <f ca="1">IF(F109="","",$B$5+C109*$B$4-SUM($F$2:F109))</f>
        <v/>
      </c>
    </row>
    <row r="110" spans="3:7" x14ac:dyDescent="0.25">
      <c r="D110" t="str">
        <f ca="1">IF(SUM($D$2:D109)&gt;$B$3,"",D109+_xll.RiskExpon($B$2))</f>
        <v/>
      </c>
      <c r="E110" t="str">
        <f t="shared" ca="1" si="1"/>
        <v/>
      </c>
      <c r="F110" t="str">
        <f ca="1">IF(E110="","",_xll.RiskExpon($B$1))</f>
        <v/>
      </c>
      <c r="G110" t="str">
        <f ca="1">IF(F110="","",$B$5+C110*$B$4-SUM($F$2:F110))</f>
        <v/>
      </c>
    </row>
    <row r="111" spans="3:7" x14ac:dyDescent="0.25">
      <c r="D111" t="str">
        <f ca="1">IF(SUM($D$2:D110)&gt;$B$3,"",D110+_xll.RiskExpon($B$2))</f>
        <v/>
      </c>
      <c r="E111" t="str">
        <f t="shared" ca="1" si="1"/>
        <v/>
      </c>
      <c r="F111" t="str">
        <f ca="1">IF(E111="","",_xll.RiskExpon($B$1))</f>
        <v/>
      </c>
      <c r="G111" t="str">
        <f ca="1">IF(F111="","",$B$5+C111*$B$4-SUM($F$2:F111))</f>
        <v/>
      </c>
    </row>
    <row r="112" spans="3:7" x14ac:dyDescent="0.25">
      <c r="D112" t="str">
        <f ca="1">IF(SUM($D$2:D111)&gt;$B$3,"",D111+_xll.RiskExpon($B$2))</f>
        <v/>
      </c>
      <c r="E112" t="str">
        <f t="shared" ca="1" si="1"/>
        <v/>
      </c>
      <c r="F112" t="str">
        <f ca="1">IF(E112="","",_xll.RiskExpon($B$1))</f>
        <v/>
      </c>
      <c r="G112" t="str">
        <f ca="1">IF(F112="","",$B$5+C112*$B$4-SUM($F$2:F112))</f>
        <v/>
      </c>
    </row>
    <row r="113" spans="4:7" x14ac:dyDescent="0.25">
      <c r="D113" t="str">
        <f ca="1">IF(SUM($D$2:D112)&gt;$B$3,"",D112+_xll.RiskExpon($B$2))</f>
        <v/>
      </c>
      <c r="E113" t="str">
        <f t="shared" ca="1" si="1"/>
        <v/>
      </c>
      <c r="F113" t="str">
        <f ca="1">IF(E113="","",_xll.RiskExpon($B$1))</f>
        <v/>
      </c>
      <c r="G113" t="str">
        <f ca="1">IF(F113="","",$B$5+C113*$B$4-SUM($F$2:F113))</f>
        <v/>
      </c>
    </row>
    <row r="114" spans="4:7" x14ac:dyDescent="0.25">
      <c r="D114" t="str">
        <f ca="1">IF(SUM($D$2:D113)&gt;$B$3,"",D113+_xll.RiskExpon($B$2))</f>
        <v/>
      </c>
      <c r="E114" t="str">
        <f t="shared" ca="1" si="1"/>
        <v/>
      </c>
      <c r="F114" t="str">
        <f ca="1">IF(E114="","",_xll.RiskExpon($B$1))</f>
        <v/>
      </c>
      <c r="G114" t="str">
        <f ca="1">IF(F114="","",$B$5+C114*$B$4-SUM($F$2:F114))</f>
        <v/>
      </c>
    </row>
    <row r="115" spans="4:7" x14ac:dyDescent="0.25">
      <c r="D115" t="str">
        <f ca="1">IF(SUM($D$2:D114)&gt;$B$3,"",D114+_xll.RiskExpon($B$2))</f>
        <v/>
      </c>
      <c r="E115" t="str">
        <f t="shared" ca="1" si="1"/>
        <v/>
      </c>
      <c r="F115" t="str">
        <f ca="1">IF(E115="","",_xll.RiskExpon($B$1))</f>
        <v/>
      </c>
      <c r="G115" t="str">
        <f ca="1">IF(F115="","",$B$5+C115*$B$4-SUM($F$2:F115))</f>
        <v/>
      </c>
    </row>
    <row r="116" spans="4:7" x14ac:dyDescent="0.25">
      <c r="D116" t="str">
        <f ca="1">IF(SUM($D$2:D115)&gt;$B$3,"",D115+_xll.RiskExpon($B$2))</f>
        <v/>
      </c>
      <c r="E116" t="str">
        <f t="shared" ca="1" si="1"/>
        <v/>
      </c>
      <c r="F116" t="str">
        <f ca="1">IF(E116="","",_xll.RiskExpon($B$1))</f>
        <v/>
      </c>
      <c r="G116" t="str">
        <f ca="1">IF(F116="","",$B$5+C116*$B$4-SUM($F$2:F116))</f>
        <v/>
      </c>
    </row>
    <row r="117" spans="4:7" x14ac:dyDescent="0.25">
      <c r="D117" t="str">
        <f ca="1">IF(SUM($D$2:D116)&gt;$B$3,"",D116+_xll.RiskExpon($B$2))</f>
        <v/>
      </c>
      <c r="E117" t="str">
        <f t="shared" ca="1" si="1"/>
        <v/>
      </c>
      <c r="F117" t="str">
        <f ca="1">IF(E117="","",_xll.RiskExpon($B$1))</f>
        <v/>
      </c>
      <c r="G117" t="str">
        <f ca="1">IF(F117="","",$B$5+C117*$B$4-SUM($F$2:F117))</f>
        <v/>
      </c>
    </row>
    <row r="118" spans="4:7" x14ac:dyDescent="0.25">
      <c r="D118" t="str">
        <f ca="1">IF(SUM($D$2:D117)&gt;$B$3,"",D117+_xll.RiskExpon($B$2))</f>
        <v/>
      </c>
      <c r="E118" t="str">
        <f t="shared" ca="1" si="1"/>
        <v/>
      </c>
      <c r="F118" t="str">
        <f ca="1">IF(E118="","",_xll.RiskExpon($B$1))</f>
        <v/>
      </c>
      <c r="G118" t="str">
        <f ca="1">IF(F118="","",$B$5+C118*$B$4-SUM($F$2:F118))</f>
        <v/>
      </c>
    </row>
    <row r="119" spans="4:7" x14ac:dyDescent="0.25">
      <c r="D119" t="str">
        <f ca="1">IF(SUM($D$2:D118)&gt;$B$3,"",D118+_xll.RiskExpon($B$2))</f>
        <v/>
      </c>
      <c r="E119" t="str">
        <f t="shared" ca="1" si="1"/>
        <v/>
      </c>
      <c r="F119" t="str">
        <f ca="1">IF(E119="","",_xll.RiskExpon($B$1))</f>
        <v/>
      </c>
      <c r="G119" t="str">
        <f ca="1">IF(F119="","",$B$5+C119*$B$4-SUM($F$2:F119))</f>
        <v/>
      </c>
    </row>
    <row r="120" spans="4:7" x14ac:dyDescent="0.25">
      <c r="D120" t="str">
        <f ca="1">IF(SUM($D$2:D119)&gt;$B$3,"",D119+_xll.RiskExpon($B$2))</f>
        <v/>
      </c>
      <c r="E120" t="str">
        <f t="shared" ca="1" si="1"/>
        <v/>
      </c>
      <c r="F120" t="str">
        <f ca="1">IF(E120="","",_xll.RiskExpon($B$1))</f>
        <v/>
      </c>
      <c r="G120" t="str">
        <f ca="1">IF(F120="","",$B$5+C120*$B$4-SUM($F$2:F120))</f>
        <v/>
      </c>
    </row>
    <row r="121" spans="4:7" x14ac:dyDescent="0.25">
      <c r="D121" t="str">
        <f ca="1">IF(SUM($D$2:D120)&gt;$B$3,"",D120+_xll.RiskExpon($B$2))</f>
        <v/>
      </c>
      <c r="E121" t="str">
        <f t="shared" ca="1" si="1"/>
        <v/>
      </c>
      <c r="F121" t="str">
        <f ca="1">IF(E121="","",_xll.RiskExpon($B$1))</f>
        <v/>
      </c>
      <c r="G121" t="str">
        <f ca="1">IF(F121="","",$B$5+C121*$B$4-SUM($F$2:F121))</f>
        <v/>
      </c>
    </row>
    <row r="122" spans="4:7" x14ac:dyDescent="0.25">
      <c r="D122" t="str">
        <f ca="1">IF(SUM($D$2:D121)&gt;$B$3,"",D121+_xll.RiskExpon($B$2))</f>
        <v/>
      </c>
      <c r="E122" t="str">
        <f t="shared" ca="1" si="1"/>
        <v/>
      </c>
      <c r="F122" t="str">
        <f ca="1">IF(E122="","",_xll.RiskExpon($B$1))</f>
        <v/>
      </c>
      <c r="G122" t="str">
        <f ca="1">IF(F122="","",$B$5+C122*$B$4-SUM($F$2:F122))</f>
        <v/>
      </c>
    </row>
    <row r="123" spans="4:7" x14ac:dyDescent="0.25">
      <c r="D123" t="str">
        <f ca="1">IF(SUM($D$2:D122)&gt;$B$3,"",D122+_xll.RiskExpon($B$2))</f>
        <v/>
      </c>
      <c r="E123" t="str">
        <f t="shared" ca="1" si="1"/>
        <v/>
      </c>
      <c r="F123" t="str">
        <f ca="1">IF(E123="","",_xll.RiskExpon($B$1))</f>
        <v/>
      </c>
      <c r="G123" t="str">
        <f ca="1">IF(F123="","",$B$5+C123*$B$4-SUM($F$2:F123))</f>
        <v/>
      </c>
    </row>
    <row r="124" spans="4:7" x14ac:dyDescent="0.25">
      <c r="D124" t="str">
        <f ca="1">IF(SUM($D$2:D123)&gt;$B$3,"",D123+_xll.RiskExpon($B$2))</f>
        <v/>
      </c>
      <c r="E124" t="str">
        <f t="shared" ca="1" si="1"/>
        <v/>
      </c>
      <c r="F124" t="str">
        <f ca="1">IF(E124="","",_xll.RiskExpon($B$1))</f>
        <v/>
      </c>
      <c r="G124" t="str">
        <f ca="1">IF(F124="","",$B$5+C124*$B$4-SUM($F$2:F124))</f>
        <v/>
      </c>
    </row>
    <row r="125" spans="4:7" x14ac:dyDescent="0.25">
      <c r="D125" t="str">
        <f ca="1">IF(SUM($D$2:D124)&gt;$B$3,"",D124+_xll.RiskExpon($B$2))</f>
        <v/>
      </c>
      <c r="E125" t="str">
        <f t="shared" ca="1" si="1"/>
        <v/>
      </c>
      <c r="F125" t="str">
        <f ca="1">IF(E125="","",_xll.RiskExpon($B$1))</f>
        <v/>
      </c>
      <c r="G125" t="str">
        <f ca="1">IF(F125="","",$B$5+C125*$B$4-SUM($F$2:F125))</f>
        <v/>
      </c>
    </row>
    <row r="126" spans="4:7" x14ac:dyDescent="0.25">
      <c r="D126" t="str">
        <f ca="1">IF(SUM($D$2:D125)&gt;$B$3,"",D125+_xll.RiskExpon($B$2))</f>
        <v/>
      </c>
      <c r="E126" t="str">
        <f t="shared" ca="1" si="1"/>
        <v/>
      </c>
      <c r="F126" t="str">
        <f ca="1">IF(E126="","",_xll.RiskExpon($B$1))</f>
        <v/>
      </c>
      <c r="G126" t="str">
        <f ca="1">IF(F126="","",$B$5+C126*$B$4-SUM($F$2:F126))</f>
        <v/>
      </c>
    </row>
    <row r="127" spans="4:7" x14ac:dyDescent="0.25">
      <c r="D127" t="str">
        <f ca="1">IF(SUM($D$2:D126)&gt;$B$3,"",D126+_xll.RiskExpon($B$2))</f>
        <v/>
      </c>
      <c r="E127" t="str">
        <f t="shared" ca="1" si="1"/>
        <v/>
      </c>
      <c r="F127" t="str">
        <f ca="1">IF(E127="","",_xll.RiskExpon($B$1))</f>
        <v/>
      </c>
      <c r="G127" t="str">
        <f ca="1">IF(F127="","",$B$5+C127*$B$4-SUM($F$2:F127))</f>
        <v/>
      </c>
    </row>
    <row r="128" spans="4:7" x14ac:dyDescent="0.25">
      <c r="D128" t="str">
        <f ca="1">IF(SUM($D$2:D127)&gt;$B$3,"",D127+_xll.RiskExpon($B$2))</f>
        <v/>
      </c>
      <c r="E128" t="str">
        <f t="shared" ca="1" si="1"/>
        <v/>
      </c>
      <c r="F128" t="str">
        <f ca="1">IF(E128="","",_xll.RiskExpon($B$1))</f>
        <v/>
      </c>
      <c r="G128" t="str">
        <f ca="1">IF(F128="","",$B$5+C128*$B$4-SUM($F$2:F128))</f>
        <v/>
      </c>
    </row>
    <row r="129" spans="4:7" x14ac:dyDescent="0.25">
      <c r="D129" t="str">
        <f ca="1">IF(SUM($D$2:D128)&gt;$B$3,"",D128+_xll.RiskExpon($B$2))</f>
        <v/>
      </c>
      <c r="E129" t="str">
        <f t="shared" ca="1" si="1"/>
        <v/>
      </c>
      <c r="F129" t="str">
        <f ca="1">IF(E129="","",_xll.RiskExpon($B$1))</f>
        <v/>
      </c>
      <c r="G129" t="str">
        <f ca="1">IF(F129="","",$B$5+C129*$B$4-SUM($F$2:F129))</f>
        <v/>
      </c>
    </row>
    <row r="130" spans="4:7" x14ac:dyDescent="0.25">
      <c r="D130" t="str">
        <f ca="1">IF(SUM($D$2:D129)&gt;$B$3,"",D129+_xll.RiskExpon($B$2))</f>
        <v/>
      </c>
      <c r="E130" t="str">
        <f t="shared" ca="1" si="1"/>
        <v/>
      </c>
      <c r="F130" t="str">
        <f ca="1">IF(E130="","",_xll.RiskExpon($B$1))</f>
        <v/>
      </c>
      <c r="G130" t="str">
        <f ca="1">IF(F130="","",$B$5+C130*$B$4-SUM($F$2:F130))</f>
        <v/>
      </c>
    </row>
    <row r="131" spans="4:7" x14ac:dyDescent="0.25">
      <c r="D131" t="str">
        <f ca="1">IF(SUM($D$2:D130)&gt;$B$3,"",D130+_xll.RiskExpon($B$2))</f>
        <v/>
      </c>
      <c r="E131" t="str">
        <f t="shared" ref="E131:E194" ca="1" si="2">IF(E130&lt;$B$6,E130+1,"")</f>
        <v/>
      </c>
      <c r="F131" t="str">
        <f ca="1">IF(E131="","",_xll.RiskExpon($B$1))</f>
        <v/>
      </c>
      <c r="G131" t="str">
        <f ca="1">IF(F131="","",$B$5+C131*$B$4-SUM($F$2:F131))</f>
        <v/>
      </c>
    </row>
    <row r="132" spans="4:7" x14ac:dyDescent="0.25">
      <c r="D132" t="str">
        <f ca="1">IF(SUM($D$2:D131)&gt;$B$3,"",D131+_xll.RiskExpon($B$2))</f>
        <v/>
      </c>
      <c r="E132" t="str">
        <f t="shared" ca="1" si="2"/>
        <v/>
      </c>
      <c r="F132" t="str">
        <f ca="1">IF(E132="","",_xll.RiskExpon($B$1))</f>
        <v/>
      </c>
      <c r="G132" t="str">
        <f ca="1">IF(F132="","",$B$5+C132*$B$4-SUM($F$2:F132))</f>
        <v/>
      </c>
    </row>
    <row r="133" spans="4:7" x14ac:dyDescent="0.25">
      <c r="D133" t="str">
        <f ca="1">IF(SUM($D$2:D132)&gt;$B$3,"",D132+_xll.RiskExpon($B$2))</f>
        <v/>
      </c>
      <c r="E133" t="str">
        <f t="shared" ca="1" si="2"/>
        <v/>
      </c>
      <c r="F133" t="str">
        <f ca="1">IF(E133="","",_xll.RiskExpon($B$1))</f>
        <v/>
      </c>
      <c r="G133" t="str">
        <f ca="1">IF(F133="","",$B$5+C133*$B$4-SUM($F$2:F133))</f>
        <v/>
      </c>
    </row>
    <row r="134" spans="4:7" x14ac:dyDescent="0.25">
      <c r="D134" t="str">
        <f ca="1">IF(SUM($D$2:D133)&gt;$B$3,"",D133+_xll.RiskExpon($B$2))</f>
        <v/>
      </c>
      <c r="E134" t="str">
        <f t="shared" ca="1" si="2"/>
        <v/>
      </c>
      <c r="F134" t="str">
        <f ca="1">IF(E134="","",_xll.RiskExpon($B$1))</f>
        <v/>
      </c>
      <c r="G134" t="str">
        <f ca="1">IF(F134="","",$B$5+C134*$B$4-SUM($F$2:F134))</f>
        <v/>
      </c>
    </row>
    <row r="135" spans="4:7" x14ac:dyDescent="0.25">
      <c r="D135" t="str">
        <f ca="1">IF(SUM($D$2:D134)&gt;$B$3,"",D134+_xll.RiskExpon($B$2))</f>
        <v/>
      </c>
      <c r="E135" t="str">
        <f t="shared" ca="1" si="2"/>
        <v/>
      </c>
      <c r="F135" t="str">
        <f ca="1">IF(E135="","",_xll.RiskExpon($B$1))</f>
        <v/>
      </c>
      <c r="G135" t="str">
        <f ca="1">IF(F135="","",$B$5+C135*$B$4-SUM($F$2:F135))</f>
        <v/>
      </c>
    </row>
    <row r="136" spans="4:7" x14ac:dyDescent="0.25">
      <c r="D136" t="str">
        <f ca="1">IF(SUM($D$2:D135)&gt;$B$3,"",D135+_xll.RiskExpon($B$2))</f>
        <v/>
      </c>
      <c r="E136" t="str">
        <f t="shared" ca="1" si="2"/>
        <v/>
      </c>
      <c r="F136" t="str">
        <f ca="1">IF(E136="","",_xll.RiskExpon($B$1))</f>
        <v/>
      </c>
      <c r="G136" t="str">
        <f ca="1">IF(F136="","",$B$5+C136*$B$4-SUM($F$2:F136))</f>
        <v/>
      </c>
    </row>
    <row r="137" spans="4:7" x14ac:dyDescent="0.25">
      <c r="D137" t="str">
        <f ca="1">IF(SUM($D$2:D136)&gt;$B$3,"",D136+_xll.RiskExpon($B$2))</f>
        <v/>
      </c>
      <c r="E137" t="str">
        <f t="shared" ca="1" si="2"/>
        <v/>
      </c>
      <c r="F137" t="str">
        <f ca="1">IF(E137="","",_xll.RiskExpon($B$1))</f>
        <v/>
      </c>
      <c r="G137" t="str">
        <f ca="1">IF(F137="","",$B$5+C137*$B$4-SUM($F$2:F137))</f>
        <v/>
      </c>
    </row>
    <row r="138" spans="4:7" x14ac:dyDescent="0.25">
      <c r="D138" t="str">
        <f ca="1">IF(SUM($D$2:D137)&gt;$B$3,"",D137+_xll.RiskExpon($B$2))</f>
        <v/>
      </c>
      <c r="E138" t="str">
        <f t="shared" ca="1" si="2"/>
        <v/>
      </c>
      <c r="F138" t="str">
        <f ca="1">IF(E138="","",_xll.RiskExpon($B$1))</f>
        <v/>
      </c>
      <c r="G138" t="str">
        <f ca="1">IF(F138="","",$B$5+C138*$B$4-SUM($F$2:F138))</f>
        <v/>
      </c>
    </row>
    <row r="139" spans="4:7" x14ac:dyDescent="0.25">
      <c r="D139" t="str">
        <f ca="1">IF(SUM($D$2:D138)&gt;$B$3,"",D138+_xll.RiskExpon($B$2))</f>
        <v/>
      </c>
      <c r="E139" t="str">
        <f t="shared" ca="1" si="2"/>
        <v/>
      </c>
      <c r="F139" t="str">
        <f ca="1">IF(E139="","",_xll.RiskExpon($B$1))</f>
        <v/>
      </c>
      <c r="G139" t="str">
        <f ca="1">IF(F139="","",$B$5+C139*$B$4-SUM($F$2:F139))</f>
        <v/>
      </c>
    </row>
    <row r="140" spans="4:7" x14ac:dyDescent="0.25">
      <c r="D140" t="str">
        <f ca="1">IF(SUM($D$2:D139)&gt;$B$3,"",D139+_xll.RiskExpon($B$2))</f>
        <v/>
      </c>
      <c r="E140" t="str">
        <f t="shared" ca="1" si="2"/>
        <v/>
      </c>
      <c r="F140" t="str">
        <f ca="1">IF(E140="","",_xll.RiskExpon($B$1))</f>
        <v/>
      </c>
      <c r="G140" t="str">
        <f ca="1">IF(F140="","",$B$5+C140*$B$4-SUM($F$2:F140))</f>
        <v/>
      </c>
    </row>
    <row r="141" spans="4:7" x14ac:dyDescent="0.25">
      <c r="D141" t="str">
        <f ca="1">IF(SUM($D$2:D140)&gt;$B$3,"",D140+_xll.RiskExpon($B$2))</f>
        <v/>
      </c>
      <c r="E141" t="str">
        <f t="shared" ca="1" si="2"/>
        <v/>
      </c>
      <c r="F141" t="str">
        <f ca="1">IF(E141="","",_xll.RiskExpon($B$1))</f>
        <v/>
      </c>
      <c r="G141" t="str">
        <f ca="1">IF(F141="","",$B$5+C141*$B$4-SUM($F$2:F141))</f>
        <v/>
      </c>
    </row>
    <row r="142" spans="4:7" x14ac:dyDescent="0.25">
      <c r="D142" t="str">
        <f ca="1">IF(SUM($D$2:D141)&gt;$B$3,"",D141+_xll.RiskExpon($B$2))</f>
        <v/>
      </c>
      <c r="E142" t="str">
        <f t="shared" ca="1" si="2"/>
        <v/>
      </c>
      <c r="F142" t="str">
        <f ca="1">IF(E142="","",_xll.RiskExpon($B$1))</f>
        <v/>
      </c>
      <c r="G142" t="str">
        <f ca="1">IF(F142="","",$B$5+C142*$B$4-SUM($F$2:F142))</f>
        <v/>
      </c>
    </row>
    <row r="143" spans="4:7" x14ac:dyDescent="0.25">
      <c r="D143" t="str">
        <f ca="1">IF(SUM($D$2:D142)&gt;$B$3,"",D142+_xll.RiskExpon($B$2))</f>
        <v/>
      </c>
      <c r="E143" t="str">
        <f t="shared" ca="1" si="2"/>
        <v/>
      </c>
      <c r="F143" t="str">
        <f ca="1">IF(E143="","",_xll.RiskExpon($B$1))</f>
        <v/>
      </c>
      <c r="G143" t="str">
        <f ca="1">IF(F143="","",$B$5+C143*$B$4-SUM($F$2:F143))</f>
        <v/>
      </c>
    </row>
    <row r="144" spans="4:7" x14ac:dyDescent="0.25">
      <c r="D144" t="str">
        <f ca="1">IF(SUM($D$2:D143)&gt;$B$3,"",D143+_xll.RiskExpon($B$2))</f>
        <v/>
      </c>
      <c r="E144" t="str">
        <f t="shared" ca="1" si="2"/>
        <v/>
      </c>
      <c r="F144" t="str">
        <f ca="1">IF(E144="","",_xll.RiskExpon($B$1))</f>
        <v/>
      </c>
      <c r="G144" t="str">
        <f ca="1">IF(F144="","",$B$5+C144*$B$4-SUM($F$2:F144))</f>
        <v/>
      </c>
    </row>
    <row r="145" spans="4:7" x14ac:dyDescent="0.25">
      <c r="D145" t="str">
        <f ca="1">IF(SUM($D$2:D144)&gt;$B$3,"",D144+_xll.RiskExpon($B$2))</f>
        <v/>
      </c>
      <c r="E145" t="str">
        <f t="shared" ca="1" si="2"/>
        <v/>
      </c>
      <c r="F145" t="str">
        <f ca="1">IF(E145="","",_xll.RiskExpon($B$1))</f>
        <v/>
      </c>
      <c r="G145" t="str">
        <f ca="1">IF(F145="","",$B$5+C145*$B$4-SUM($F$2:F145))</f>
        <v/>
      </c>
    </row>
    <row r="146" spans="4:7" x14ac:dyDescent="0.25">
      <c r="D146" t="str">
        <f ca="1">IF(SUM($D$2:D145)&gt;$B$3,"",D145+_xll.RiskExpon($B$2))</f>
        <v/>
      </c>
      <c r="E146" t="str">
        <f t="shared" ca="1" si="2"/>
        <v/>
      </c>
      <c r="F146" t="str">
        <f ca="1">IF(E146="","",_xll.RiskExpon($B$1))</f>
        <v/>
      </c>
      <c r="G146" t="str">
        <f ca="1">IF(F146="","",$B$5+C146*$B$4-SUM($F$2:F146))</f>
        <v/>
      </c>
    </row>
    <row r="147" spans="4:7" x14ac:dyDescent="0.25">
      <c r="D147" t="str">
        <f ca="1">IF(SUM($D$2:D146)&gt;$B$3,"",D146+_xll.RiskExpon($B$2))</f>
        <v/>
      </c>
      <c r="E147" t="str">
        <f t="shared" ca="1" si="2"/>
        <v/>
      </c>
      <c r="F147" t="str">
        <f ca="1">IF(E147="","",_xll.RiskExpon($B$1))</f>
        <v/>
      </c>
      <c r="G147" t="str">
        <f ca="1">IF(F147="","",$B$5+C147*$B$4-SUM($F$2:F147))</f>
        <v/>
      </c>
    </row>
    <row r="148" spans="4:7" x14ac:dyDescent="0.25">
      <c r="D148" t="str">
        <f ca="1">IF(SUM($D$2:D147)&gt;$B$3,"",D147+_xll.RiskExpon($B$2))</f>
        <v/>
      </c>
      <c r="E148" t="str">
        <f t="shared" ca="1" si="2"/>
        <v/>
      </c>
      <c r="F148" t="str">
        <f ca="1">IF(E148="","",_xll.RiskExpon($B$1))</f>
        <v/>
      </c>
      <c r="G148" t="str">
        <f ca="1">IF(F148="","",$B$5+C148*$B$4-SUM($F$2:F148))</f>
        <v/>
      </c>
    </row>
    <row r="149" spans="4:7" x14ac:dyDescent="0.25">
      <c r="D149" t="str">
        <f ca="1">IF(SUM($D$2:D148)&gt;$B$3,"",D148+_xll.RiskExpon($B$2))</f>
        <v/>
      </c>
      <c r="E149" t="str">
        <f t="shared" ca="1" si="2"/>
        <v/>
      </c>
      <c r="F149" t="str">
        <f ca="1">IF(E149="","",_xll.RiskExpon($B$1))</f>
        <v/>
      </c>
      <c r="G149" t="str">
        <f ca="1">IF(F149="","",$B$5+C149*$B$4-SUM($F$2:F149))</f>
        <v/>
      </c>
    </row>
    <row r="150" spans="4:7" x14ac:dyDescent="0.25">
      <c r="D150" t="str">
        <f ca="1">IF(SUM($D$2:D149)&gt;$B$3,"",D149+_xll.RiskExpon($B$2))</f>
        <v/>
      </c>
      <c r="E150" t="str">
        <f t="shared" ca="1" si="2"/>
        <v/>
      </c>
      <c r="F150" t="str">
        <f ca="1">IF(E150="","",_xll.RiskExpon($B$1))</f>
        <v/>
      </c>
      <c r="G150" t="str">
        <f ca="1">IF(F150="","",$B$5+C150*$B$4-SUM($F$2:F150))</f>
        <v/>
      </c>
    </row>
    <row r="151" spans="4:7" x14ac:dyDescent="0.25">
      <c r="D151" t="str">
        <f ca="1">IF(SUM($D$2:D150)&gt;$B$3,"",D150+_xll.RiskExpon($B$2))</f>
        <v/>
      </c>
      <c r="E151" t="str">
        <f t="shared" ca="1" si="2"/>
        <v/>
      </c>
      <c r="F151" t="str">
        <f ca="1">IF(E151="","",_xll.RiskExpon($B$1))</f>
        <v/>
      </c>
      <c r="G151" t="str">
        <f ca="1">IF(F151="","",$B$5+C151*$B$4-SUM($F$2:F151))</f>
        <v/>
      </c>
    </row>
    <row r="152" spans="4:7" x14ac:dyDescent="0.25">
      <c r="D152" t="str">
        <f ca="1">IF(SUM($D$2:D151)&gt;$B$3,"",D151+_xll.RiskExpon($B$2))</f>
        <v/>
      </c>
      <c r="E152" t="str">
        <f t="shared" ca="1" si="2"/>
        <v/>
      </c>
      <c r="F152" t="str">
        <f ca="1">IF(E152="","",_xll.RiskExpon($B$1))</f>
        <v/>
      </c>
      <c r="G152" t="str">
        <f ca="1">IF(F152="","",$B$5+C152*$B$4-SUM($F$2:F152))</f>
        <v/>
      </c>
    </row>
    <row r="153" spans="4:7" x14ac:dyDescent="0.25">
      <c r="D153" t="str">
        <f ca="1">IF(SUM($D$2:D152)&gt;$B$3,"",D152+_xll.RiskExpon($B$2))</f>
        <v/>
      </c>
      <c r="E153" t="str">
        <f t="shared" ca="1" si="2"/>
        <v/>
      </c>
      <c r="F153" t="str">
        <f ca="1">IF(E153="","",_xll.RiskExpon($B$1))</f>
        <v/>
      </c>
      <c r="G153" t="str">
        <f ca="1">IF(F153="","",$B$5+C153*$B$4-SUM($F$2:F153))</f>
        <v/>
      </c>
    </row>
    <row r="154" spans="4:7" x14ac:dyDescent="0.25">
      <c r="D154" t="str">
        <f ca="1">IF(SUM($D$2:D153)&gt;$B$3,"",D153+_xll.RiskExpon($B$2))</f>
        <v/>
      </c>
      <c r="E154" t="str">
        <f t="shared" ca="1" si="2"/>
        <v/>
      </c>
      <c r="F154" t="str">
        <f ca="1">IF(E154="","",_xll.RiskExpon($B$1))</f>
        <v/>
      </c>
      <c r="G154" t="str">
        <f ca="1">IF(F154="","",$B$5+C154*$B$4-SUM($F$2:F154))</f>
        <v/>
      </c>
    </row>
    <row r="155" spans="4:7" x14ac:dyDescent="0.25">
      <c r="D155" t="str">
        <f ca="1">IF(SUM($D$2:D154)&gt;$B$3,"",D154+_xll.RiskExpon($B$2))</f>
        <v/>
      </c>
      <c r="E155" t="str">
        <f t="shared" ca="1" si="2"/>
        <v/>
      </c>
      <c r="F155" t="str">
        <f ca="1">IF(E155="","",_xll.RiskExpon($B$1))</f>
        <v/>
      </c>
      <c r="G155" t="str">
        <f ca="1">IF(F155="","",$B$5+C155*$B$4-SUM($F$2:F155))</f>
        <v/>
      </c>
    </row>
    <row r="156" spans="4:7" x14ac:dyDescent="0.25">
      <c r="D156" t="str">
        <f ca="1">IF(SUM($D$2:D155)&gt;$B$3,"",D155+_xll.RiskExpon($B$2))</f>
        <v/>
      </c>
      <c r="E156" t="str">
        <f t="shared" ca="1" si="2"/>
        <v/>
      </c>
      <c r="F156" t="str">
        <f ca="1">IF(E156="","",_xll.RiskExpon($B$1))</f>
        <v/>
      </c>
      <c r="G156" t="str">
        <f ca="1">IF(F156="","",$B$5+C156*$B$4-SUM($F$2:F156))</f>
        <v/>
      </c>
    </row>
    <row r="157" spans="4:7" x14ac:dyDescent="0.25">
      <c r="D157" t="str">
        <f ca="1">IF(SUM($D$2:D156)&gt;$B$3,"",D156+_xll.RiskExpon($B$2))</f>
        <v/>
      </c>
      <c r="E157" t="str">
        <f t="shared" ca="1" si="2"/>
        <v/>
      </c>
      <c r="F157" t="str">
        <f ca="1">IF(E157="","",_xll.RiskExpon($B$1))</f>
        <v/>
      </c>
      <c r="G157" t="str">
        <f ca="1">IF(F157="","",$B$5+C157*$B$4-SUM($F$2:F157))</f>
        <v/>
      </c>
    </row>
    <row r="158" spans="4:7" x14ac:dyDescent="0.25">
      <c r="D158" t="str">
        <f ca="1">IF(SUM($D$2:D157)&gt;$B$3,"",D157+_xll.RiskExpon($B$2))</f>
        <v/>
      </c>
      <c r="E158" t="str">
        <f t="shared" ca="1" si="2"/>
        <v/>
      </c>
      <c r="F158" t="str">
        <f ca="1">IF(E158="","",_xll.RiskExpon($B$1))</f>
        <v/>
      </c>
      <c r="G158" t="str">
        <f ca="1">IF(F158="","",$B$5+C158*$B$4-SUM($F$2:F158))</f>
        <v/>
      </c>
    </row>
    <row r="159" spans="4:7" x14ac:dyDescent="0.25">
      <c r="D159" t="str">
        <f ca="1">IF(SUM($D$2:D158)&gt;$B$3,"",D158+_xll.RiskExpon($B$2))</f>
        <v/>
      </c>
      <c r="E159" t="str">
        <f t="shared" ca="1" si="2"/>
        <v/>
      </c>
      <c r="F159" t="str">
        <f ca="1">IF(E159="","",_xll.RiskExpon($B$1))</f>
        <v/>
      </c>
      <c r="G159" t="str">
        <f ca="1">IF(F159="","",$B$5+C159*$B$4-SUM($F$2:F159))</f>
        <v/>
      </c>
    </row>
    <row r="160" spans="4:7" x14ac:dyDescent="0.25">
      <c r="D160" t="str">
        <f ca="1">IF(SUM($D$2:D159)&gt;$B$3,"",D159+_xll.RiskExpon($B$2))</f>
        <v/>
      </c>
      <c r="E160" t="str">
        <f t="shared" ca="1" si="2"/>
        <v/>
      </c>
      <c r="F160" t="str">
        <f ca="1">IF(E160="","",_xll.RiskExpon($B$1))</f>
        <v/>
      </c>
      <c r="G160" t="str">
        <f ca="1">IF(F160="","",$B$5+C160*$B$4-SUM($F$2:F160))</f>
        <v/>
      </c>
    </row>
    <row r="161" spans="4:7" x14ac:dyDescent="0.25">
      <c r="D161" t="str">
        <f ca="1">IF(SUM($D$2:D160)&gt;$B$3,"",D160+_xll.RiskExpon($B$2))</f>
        <v/>
      </c>
      <c r="E161" t="str">
        <f t="shared" ca="1" si="2"/>
        <v/>
      </c>
      <c r="F161" t="str">
        <f ca="1">IF(E161="","",_xll.RiskExpon($B$1))</f>
        <v/>
      </c>
      <c r="G161" t="str">
        <f ca="1">IF(F161="","",$B$5+C161*$B$4-SUM($F$2:F161))</f>
        <v/>
      </c>
    </row>
    <row r="162" spans="4:7" x14ac:dyDescent="0.25">
      <c r="D162" t="str">
        <f ca="1">IF(SUM($D$2:D161)&gt;$B$3,"",D161+_xll.RiskExpon($B$2))</f>
        <v/>
      </c>
      <c r="E162" t="str">
        <f t="shared" ca="1" si="2"/>
        <v/>
      </c>
      <c r="F162" t="str">
        <f ca="1">IF(E162="","",_xll.RiskExpon($B$1))</f>
        <v/>
      </c>
      <c r="G162" t="str">
        <f ca="1">IF(F162="","",$B$5+C162*$B$4-SUM($F$2:F162))</f>
        <v/>
      </c>
    </row>
    <row r="163" spans="4:7" x14ac:dyDescent="0.25">
      <c r="D163" t="str">
        <f ca="1">IF(SUM($D$2:D162)&gt;$B$3,"",D162+_xll.RiskExpon($B$2))</f>
        <v/>
      </c>
      <c r="E163" t="str">
        <f t="shared" ca="1" si="2"/>
        <v/>
      </c>
      <c r="F163" t="str">
        <f ca="1">IF(E163="","",_xll.RiskExpon($B$1))</f>
        <v/>
      </c>
      <c r="G163" t="str">
        <f ca="1">IF(F163="","",$B$5+C163*$B$4-SUM($F$2:F163))</f>
        <v/>
      </c>
    </row>
    <row r="164" spans="4:7" x14ac:dyDescent="0.25">
      <c r="D164" t="str">
        <f ca="1">IF(SUM($D$2:D163)&gt;$B$3,"",D163+_xll.RiskExpon($B$2))</f>
        <v/>
      </c>
      <c r="E164" t="str">
        <f t="shared" ca="1" si="2"/>
        <v/>
      </c>
      <c r="F164" t="str">
        <f ca="1">IF(E164="","",_xll.RiskExpon($B$1))</f>
        <v/>
      </c>
      <c r="G164" t="str">
        <f ca="1">IF(F164="","",$B$5+C164*$B$4-SUM($F$2:F164))</f>
        <v/>
      </c>
    </row>
    <row r="165" spans="4:7" x14ac:dyDescent="0.25">
      <c r="D165" t="str">
        <f ca="1">IF(SUM($D$2:D164)&gt;$B$3,"",D164+_xll.RiskExpon($B$2))</f>
        <v/>
      </c>
      <c r="E165" t="str">
        <f t="shared" ca="1" si="2"/>
        <v/>
      </c>
      <c r="F165" t="str">
        <f ca="1">IF(E165="","",_xll.RiskExpon($B$1))</f>
        <v/>
      </c>
      <c r="G165" t="str">
        <f ca="1">IF(F165="","",$B$5+C165*$B$4-SUM($F$2:F165))</f>
        <v/>
      </c>
    </row>
    <row r="166" spans="4:7" x14ac:dyDescent="0.25">
      <c r="D166" t="str">
        <f ca="1">IF(SUM($D$2:D165)&gt;$B$3,"",D165+_xll.RiskExpon($B$2))</f>
        <v/>
      </c>
      <c r="E166" t="str">
        <f t="shared" ca="1" si="2"/>
        <v/>
      </c>
      <c r="F166" t="str">
        <f ca="1">IF(E166="","",_xll.RiskExpon($B$1))</f>
        <v/>
      </c>
      <c r="G166" t="str">
        <f ca="1">IF(F166="","",$B$5+C166*$B$4-SUM($F$2:F166))</f>
        <v/>
      </c>
    </row>
    <row r="167" spans="4:7" x14ac:dyDescent="0.25">
      <c r="D167" t="str">
        <f ca="1">IF(SUM($D$2:D166)&gt;$B$3,"",D166+_xll.RiskExpon($B$2))</f>
        <v/>
      </c>
      <c r="E167" t="str">
        <f t="shared" ca="1" si="2"/>
        <v/>
      </c>
      <c r="F167" t="str">
        <f ca="1">IF(E167="","",_xll.RiskExpon($B$1))</f>
        <v/>
      </c>
      <c r="G167" t="str">
        <f ca="1">IF(F167="","",$B$5+C167*$B$4-SUM($F$2:F167))</f>
        <v/>
      </c>
    </row>
    <row r="168" spans="4:7" x14ac:dyDescent="0.25">
      <c r="D168" t="str">
        <f ca="1">IF(SUM($D$2:D167)&gt;$B$3,"",D167+_xll.RiskExpon($B$2))</f>
        <v/>
      </c>
      <c r="E168" t="str">
        <f t="shared" ca="1" si="2"/>
        <v/>
      </c>
      <c r="F168" t="str">
        <f ca="1">IF(E168="","",_xll.RiskExpon($B$1))</f>
        <v/>
      </c>
      <c r="G168" t="str">
        <f ca="1">IF(F168="","",$B$5+C168*$B$4-SUM($F$2:F168))</f>
        <v/>
      </c>
    </row>
    <row r="169" spans="4:7" x14ac:dyDescent="0.25">
      <c r="D169" t="str">
        <f ca="1">IF(SUM($D$2:D168)&gt;$B$3,"",D168+_xll.RiskExpon($B$2))</f>
        <v/>
      </c>
      <c r="E169" t="str">
        <f t="shared" ca="1" si="2"/>
        <v/>
      </c>
      <c r="F169" t="str">
        <f ca="1">IF(E169="","",_xll.RiskExpon($B$1))</f>
        <v/>
      </c>
      <c r="G169" t="str">
        <f ca="1">IF(F169="","",$B$5+C169*$B$4-SUM($F$2:F169))</f>
        <v/>
      </c>
    </row>
    <row r="170" spans="4:7" x14ac:dyDescent="0.25">
      <c r="D170" t="str">
        <f ca="1">IF(SUM($D$2:D169)&gt;$B$3,"",D169+_xll.RiskExpon($B$2))</f>
        <v/>
      </c>
      <c r="E170" t="str">
        <f t="shared" ca="1" si="2"/>
        <v/>
      </c>
      <c r="F170" t="str">
        <f ca="1">IF(E170="","",_xll.RiskExpon($B$1))</f>
        <v/>
      </c>
      <c r="G170" t="str">
        <f ca="1">IF(F170="","",$B$5+C170*$B$4-SUM($F$2:F170))</f>
        <v/>
      </c>
    </row>
    <row r="171" spans="4:7" x14ac:dyDescent="0.25">
      <c r="D171" t="str">
        <f ca="1">IF(SUM($D$2:D170)&gt;$B$3,"",D170+_xll.RiskExpon($B$2))</f>
        <v/>
      </c>
      <c r="E171" t="str">
        <f t="shared" ca="1" si="2"/>
        <v/>
      </c>
      <c r="F171" t="str">
        <f ca="1">IF(E171="","",_xll.RiskExpon($B$1))</f>
        <v/>
      </c>
      <c r="G171" t="str">
        <f ca="1">IF(F171="","",$B$5+C171*$B$4-SUM($F$2:F171))</f>
        <v/>
      </c>
    </row>
    <row r="172" spans="4:7" x14ac:dyDescent="0.25">
      <c r="D172" t="str">
        <f ca="1">IF(SUM($D$2:D171)&gt;$B$3,"",D171+_xll.RiskExpon($B$2))</f>
        <v/>
      </c>
      <c r="E172" t="str">
        <f t="shared" ca="1" si="2"/>
        <v/>
      </c>
      <c r="F172" t="str">
        <f ca="1">IF(E172="","",_xll.RiskExpon($B$1))</f>
        <v/>
      </c>
      <c r="G172" t="str">
        <f ca="1">IF(F172="","",$B$5+C172*$B$4-SUM($F$2:F172))</f>
        <v/>
      </c>
    </row>
    <row r="173" spans="4:7" x14ac:dyDescent="0.25">
      <c r="D173" t="str">
        <f ca="1">IF(SUM($D$2:D172)&gt;$B$3,"",D172+_xll.RiskExpon($B$2))</f>
        <v/>
      </c>
      <c r="E173" t="str">
        <f t="shared" ca="1" si="2"/>
        <v/>
      </c>
      <c r="F173" t="str">
        <f ca="1">IF(E173="","",_xll.RiskExpon($B$1))</f>
        <v/>
      </c>
      <c r="G173" t="str">
        <f ca="1">IF(F173="","",$B$5+C173*$B$4-SUM($F$2:F173))</f>
        <v/>
      </c>
    </row>
    <row r="174" spans="4:7" x14ac:dyDescent="0.25">
      <c r="D174" t="str">
        <f ca="1">IF(SUM($D$2:D173)&gt;$B$3,"",D173+_xll.RiskExpon($B$2))</f>
        <v/>
      </c>
      <c r="E174" t="str">
        <f t="shared" ca="1" si="2"/>
        <v/>
      </c>
      <c r="F174" t="str">
        <f ca="1">IF(E174="","",_xll.RiskExpon($B$1))</f>
        <v/>
      </c>
      <c r="G174" t="str">
        <f ca="1">IF(F174="","",$B$5+C174*$B$4-SUM($F$2:F174))</f>
        <v/>
      </c>
    </row>
    <row r="175" spans="4:7" x14ac:dyDescent="0.25">
      <c r="D175" t="str">
        <f ca="1">IF(SUM($D$2:D174)&gt;$B$3,"",D174+_xll.RiskExpon($B$2))</f>
        <v/>
      </c>
      <c r="E175" t="str">
        <f t="shared" ca="1" si="2"/>
        <v/>
      </c>
      <c r="F175" t="str">
        <f ca="1">IF(E175="","",_xll.RiskExpon($B$1))</f>
        <v/>
      </c>
      <c r="G175" t="str">
        <f ca="1">IF(F175="","",$B$5+C175*$B$4-SUM($F$2:F175))</f>
        <v/>
      </c>
    </row>
    <row r="176" spans="4:7" x14ac:dyDescent="0.25">
      <c r="D176" t="str">
        <f ca="1">IF(SUM($D$2:D175)&gt;$B$3,"",D175+_xll.RiskExpon($B$2))</f>
        <v/>
      </c>
      <c r="E176" t="str">
        <f t="shared" ca="1" si="2"/>
        <v/>
      </c>
      <c r="F176" t="str">
        <f ca="1">IF(E176="","",_xll.RiskExpon($B$1))</f>
        <v/>
      </c>
      <c r="G176" t="str">
        <f ca="1">IF(F176="","",$B$5+C176*$B$4-SUM($F$2:F176))</f>
        <v/>
      </c>
    </row>
    <row r="177" spans="4:7" x14ac:dyDescent="0.25">
      <c r="D177" t="str">
        <f ca="1">IF(SUM($D$2:D176)&gt;$B$3,"",D176+_xll.RiskExpon($B$2))</f>
        <v/>
      </c>
      <c r="E177" t="str">
        <f t="shared" ca="1" si="2"/>
        <v/>
      </c>
      <c r="F177" t="str">
        <f ca="1">IF(E177="","",_xll.RiskExpon($B$1))</f>
        <v/>
      </c>
      <c r="G177" t="str">
        <f ca="1">IF(F177="","",$B$5+C177*$B$4-SUM($F$2:F177))</f>
        <v/>
      </c>
    </row>
    <row r="178" spans="4:7" x14ac:dyDescent="0.25">
      <c r="D178" t="str">
        <f ca="1">IF(SUM($D$2:D177)&gt;$B$3,"",D177+_xll.RiskExpon($B$2))</f>
        <v/>
      </c>
      <c r="E178" t="str">
        <f t="shared" ca="1" si="2"/>
        <v/>
      </c>
      <c r="F178" t="str">
        <f ca="1">IF(E178="","",_xll.RiskExpon($B$1))</f>
        <v/>
      </c>
      <c r="G178" t="str">
        <f ca="1">IF(F178="","",$B$5+C178*$B$4-SUM($F$2:F178))</f>
        <v/>
      </c>
    </row>
    <row r="179" spans="4:7" x14ac:dyDescent="0.25">
      <c r="D179" t="str">
        <f ca="1">IF(SUM($D$2:D178)&gt;$B$3,"",D178+_xll.RiskExpon($B$2))</f>
        <v/>
      </c>
      <c r="E179" t="str">
        <f t="shared" ca="1" si="2"/>
        <v/>
      </c>
      <c r="F179" t="str">
        <f ca="1">IF(E179="","",_xll.RiskExpon($B$1))</f>
        <v/>
      </c>
      <c r="G179" t="str">
        <f ca="1">IF(F179="","",$B$5+C179*$B$4-SUM($F$2:F179))</f>
        <v/>
      </c>
    </row>
    <row r="180" spans="4:7" x14ac:dyDescent="0.25">
      <c r="D180" t="str">
        <f ca="1">IF(SUM($D$2:D179)&gt;$B$3,"",D179+_xll.RiskExpon($B$2))</f>
        <v/>
      </c>
      <c r="E180" t="str">
        <f t="shared" ca="1" si="2"/>
        <v/>
      </c>
      <c r="F180" t="str">
        <f ca="1">IF(E180="","",_xll.RiskExpon($B$1))</f>
        <v/>
      </c>
      <c r="G180" t="str">
        <f ca="1">IF(F180="","",$B$5+C180*$B$4-SUM($F$2:F180))</f>
        <v/>
      </c>
    </row>
    <row r="181" spans="4:7" x14ac:dyDescent="0.25">
      <c r="D181" t="str">
        <f ca="1">IF(SUM($D$2:D180)&gt;$B$3,"",D180+_xll.RiskExpon($B$2))</f>
        <v/>
      </c>
      <c r="E181" t="str">
        <f t="shared" ca="1" si="2"/>
        <v/>
      </c>
      <c r="F181" t="str">
        <f ca="1">IF(E181="","",_xll.RiskExpon($B$1))</f>
        <v/>
      </c>
      <c r="G181" t="str">
        <f ca="1">IF(F181="","",$B$5+C181*$B$4-SUM($F$2:F181))</f>
        <v/>
      </c>
    </row>
    <row r="182" spans="4:7" x14ac:dyDescent="0.25">
      <c r="D182" t="str">
        <f ca="1">IF(SUM($D$2:D181)&gt;$B$3,"",D181+_xll.RiskExpon($B$2))</f>
        <v/>
      </c>
      <c r="E182" t="str">
        <f t="shared" ca="1" si="2"/>
        <v/>
      </c>
      <c r="F182" t="str">
        <f ca="1">IF(E182="","",_xll.RiskExpon($B$1))</f>
        <v/>
      </c>
      <c r="G182" t="str">
        <f ca="1">IF(F182="","",$B$5+C182*$B$4-SUM($F$2:F182))</f>
        <v/>
      </c>
    </row>
    <row r="183" spans="4:7" x14ac:dyDescent="0.25">
      <c r="D183" t="str">
        <f ca="1">IF(SUM($D$2:D182)&gt;$B$3,"",D182+_xll.RiskExpon($B$2))</f>
        <v/>
      </c>
      <c r="E183" t="str">
        <f t="shared" ca="1" si="2"/>
        <v/>
      </c>
      <c r="F183" t="str">
        <f ca="1">IF(E183="","",_xll.RiskExpon($B$1))</f>
        <v/>
      </c>
      <c r="G183" t="str">
        <f ca="1">IF(F183="","",$B$5+C183*$B$4-SUM($F$2:F183))</f>
        <v/>
      </c>
    </row>
    <row r="184" spans="4:7" x14ac:dyDescent="0.25">
      <c r="D184" t="str">
        <f ca="1">IF(SUM($D$2:D183)&gt;$B$3,"",D183+_xll.RiskExpon($B$2))</f>
        <v/>
      </c>
      <c r="E184" t="str">
        <f t="shared" ca="1" si="2"/>
        <v/>
      </c>
      <c r="F184" t="str">
        <f ca="1">IF(E184="","",_xll.RiskExpon($B$1))</f>
        <v/>
      </c>
      <c r="G184" t="str">
        <f ca="1">IF(F184="","",$B$5+C184*$B$4-SUM($F$2:F184))</f>
        <v/>
      </c>
    </row>
    <row r="185" spans="4:7" x14ac:dyDescent="0.25">
      <c r="D185" t="str">
        <f ca="1">IF(SUM($D$2:D184)&gt;$B$3,"",D184+_xll.RiskExpon($B$2))</f>
        <v/>
      </c>
      <c r="E185" t="str">
        <f t="shared" ca="1" si="2"/>
        <v/>
      </c>
      <c r="F185" t="str">
        <f ca="1">IF(E185="","",_xll.RiskExpon($B$1))</f>
        <v/>
      </c>
      <c r="G185" t="str">
        <f ca="1">IF(F185="","",$B$5+C185*$B$4-SUM($F$2:F185))</f>
        <v/>
      </c>
    </row>
    <row r="186" spans="4:7" x14ac:dyDescent="0.25">
      <c r="D186" t="str">
        <f ca="1">IF(SUM($D$2:D185)&gt;$B$3,"",D185+_xll.RiskExpon($B$2))</f>
        <v/>
      </c>
      <c r="E186" t="str">
        <f t="shared" ca="1" si="2"/>
        <v/>
      </c>
      <c r="F186" t="str">
        <f ca="1">IF(E186="","",_xll.RiskExpon($B$1))</f>
        <v/>
      </c>
      <c r="G186" t="str">
        <f ca="1">IF(F186="","",$B$5+C186*$B$4-SUM($F$2:F186))</f>
        <v/>
      </c>
    </row>
    <row r="187" spans="4:7" x14ac:dyDescent="0.25">
      <c r="D187" t="str">
        <f ca="1">IF(SUM($D$2:D186)&gt;$B$3,"",D186+_xll.RiskExpon($B$2))</f>
        <v/>
      </c>
      <c r="E187" t="str">
        <f t="shared" ca="1" si="2"/>
        <v/>
      </c>
      <c r="F187" t="str">
        <f ca="1">IF(E187="","",_xll.RiskExpon($B$1))</f>
        <v/>
      </c>
      <c r="G187" t="str">
        <f ca="1">IF(F187="","",$B$5+C187*$B$4-SUM($F$2:F187))</f>
        <v/>
      </c>
    </row>
    <row r="188" spans="4:7" x14ac:dyDescent="0.25">
      <c r="D188" t="str">
        <f ca="1">IF(SUM($D$2:D187)&gt;$B$3,"",D187+_xll.RiskExpon($B$2))</f>
        <v/>
      </c>
      <c r="E188" t="str">
        <f t="shared" ca="1" si="2"/>
        <v/>
      </c>
      <c r="F188" t="str">
        <f ca="1">IF(E188="","",_xll.RiskExpon($B$1))</f>
        <v/>
      </c>
      <c r="G188" t="str">
        <f ca="1">IF(F188="","",$B$5+C188*$B$4-SUM($F$2:F188))</f>
        <v/>
      </c>
    </row>
    <row r="189" spans="4:7" x14ac:dyDescent="0.25">
      <c r="D189" t="str">
        <f ca="1">IF(SUM($D$2:D188)&gt;$B$3,"",D188+_xll.RiskExpon($B$2))</f>
        <v/>
      </c>
      <c r="E189" t="str">
        <f t="shared" ca="1" si="2"/>
        <v/>
      </c>
      <c r="F189" t="str">
        <f ca="1">IF(E189="","",_xll.RiskExpon($B$1))</f>
        <v/>
      </c>
      <c r="G189" t="str">
        <f ca="1">IF(F189="","",$B$5+C189*$B$4-SUM($F$2:F189))</f>
        <v/>
      </c>
    </row>
    <row r="190" spans="4:7" x14ac:dyDescent="0.25">
      <c r="D190" t="str">
        <f ca="1">IF(SUM($D$2:D189)&gt;$B$3,"",D189+_xll.RiskExpon($B$2))</f>
        <v/>
      </c>
      <c r="E190" t="str">
        <f t="shared" ca="1" si="2"/>
        <v/>
      </c>
      <c r="F190" t="str">
        <f ca="1">IF(E190="","",_xll.RiskExpon($B$1))</f>
        <v/>
      </c>
      <c r="G190" t="str">
        <f ca="1">IF(F190="","",$B$5+C190*$B$4-SUM($F$2:F190))</f>
        <v/>
      </c>
    </row>
    <row r="191" spans="4:7" x14ac:dyDescent="0.25">
      <c r="D191" t="str">
        <f ca="1">IF(SUM($D$2:D190)&gt;$B$3,"",D190+_xll.RiskExpon($B$2))</f>
        <v/>
      </c>
      <c r="E191" t="str">
        <f t="shared" ca="1" si="2"/>
        <v/>
      </c>
      <c r="F191" t="str">
        <f ca="1">IF(E191="","",_xll.RiskExpon($B$1))</f>
        <v/>
      </c>
      <c r="G191" t="str">
        <f ca="1">IF(F191="","",$B$5+C191*$B$4-SUM($F$2:F191))</f>
        <v/>
      </c>
    </row>
    <row r="192" spans="4:7" x14ac:dyDescent="0.25">
      <c r="D192" t="str">
        <f ca="1">IF(SUM($D$2:D191)&gt;$B$3,"",D191+_xll.RiskExpon($B$2))</f>
        <v/>
      </c>
      <c r="E192" t="str">
        <f t="shared" ca="1" si="2"/>
        <v/>
      </c>
      <c r="F192" t="str">
        <f ca="1">IF(E192="","",_xll.RiskExpon($B$1))</f>
        <v/>
      </c>
      <c r="G192" t="str">
        <f ca="1">IF(F192="","",$B$5+C192*$B$4-SUM($F$2:F192))</f>
        <v/>
      </c>
    </row>
    <row r="193" spans="4:7" x14ac:dyDescent="0.25">
      <c r="D193" t="str">
        <f ca="1">IF(SUM($D$2:D192)&gt;$B$3,"",D192+_xll.RiskExpon($B$2))</f>
        <v/>
      </c>
      <c r="E193" t="str">
        <f t="shared" ca="1" si="2"/>
        <v/>
      </c>
      <c r="F193" t="str">
        <f ca="1">IF(E193="","",_xll.RiskExpon($B$1))</f>
        <v/>
      </c>
      <c r="G193" t="str">
        <f ca="1">IF(F193="","",$B$5+C193*$B$4-SUM($F$2:F193))</f>
        <v/>
      </c>
    </row>
    <row r="194" spans="4:7" x14ac:dyDescent="0.25">
      <c r="D194" t="str">
        <f ca="1">IF(SUM($D$2:D193)&gt;$B$3,"",D193+_xll.RiskExpon($B$2))</f>
        <v/>
      </c>
      <c r="E194" t="str">
        <f t="shared" ca="1" si="2"/>
        <v/>
      </c>
      <c r="F194" t="str">
        <f ca="1">IF(E194="","",_xll.RiskExpon($B$1))</f>
        <v/>
      </c>
      <c r="G194" t="str">
        <f ca="1">IF(F194="","",$B$5+C194*$B$4-SUM($F$2:F194))</f>
        <v/>
      </c>
    </row>
    <row r="195" spans="4:7" x14ac:dyDescent="0.25">
      <c r="D195" t="str">
        <f ca="1">IF(SUM($D$2:D194)&gt;$B$3,"",D194+_xll.RiskExpon($B$2))</f>
        <v/>
      </c>
      <c r="E195" t="str">
        <f t="shared" ref="E195:E258" ca="1" si="3">IF(E194&lt;$B$6,E194+1,"")</f>
        <v/>
      </c>
      <c r="F195" t="str">
        <f ca="1">IF(E195="","",_xll.RiskExpon($B$1))</f>
        <v/>
      </c>
      <c r="G195" t="str">
        <f ca="1">IF(F195="","",$B$5+C195*$B$4-SUM($F$2:F195))</f>
        <v/>
      </c>
    </row>
    <row r="196" spans="4:7" x14ac:dyDescent="0.25">
      <c r="D196" t="str">
        <f ca="1">IF(SUM($D$2:D195)&gt;$B$3,"",D195+_xll.RiskExpon($B$2))</f>
        <v/>
      </c>
      <c r="E196" t="str">
        <f t="shared" ca="1" si="3"/>
        <v/>
      </c>
      <c r="F196" t="str">
        <f ca="1">IF(E196="","",_xll.RiskExpon($B$1))</f>
        <v/>
      </c>
      <c r="G196" t="str">
        <f ca="1">IF(F196="","",$B$5+C196*$B$4-SUM($F$2:F196))</f>
        <v/>
      </c>
    </row>
    <row r="197" spans="4:7" x14ac:dyDescent="0.25">
      <c r="D197" t="str">
        <f ca="1">IF(SUM($D$2:D196)&gt;$B$3,"",D196+_xll.RiskExpon($B$2))</f>
        <v/>
      </c>
      <c r="E197" t="str">
        <f t="shared" ca="1" si="3"/>
        <v/>
      </c>
      <c r="F197" t="str">
        <f ca="1">IF(E197="","",_xll.RiskExpon($B$1))</f>
        <v/>
      </c>
      <c r="G197" t="str">
        <f ca="1">IF(F197="","",$B$5+C197*$B$4-SUM($F$2:F197))</f>
        <v/>
      </c>
    </row>
    <row r="198" spans="4:7" x14ac:dyDescent="0.25">
      <c r="D198" t="str">
        <f ca="1">IF(SUM($D$2:D197)&gt;$B$3,"",D197+_xll.RiskExpon($B$2))</f>
        <v/>
      </c>
      <c r="E198" t="str">
        <f t="shared" ca="1" si="3"/>
        <v/>
      </c>
      <c r="F198" t="str">
        <f ca="1">IF(E198="","",_xll.RiskExpon($B$1))</f>
        <v/>
      </c>
      <c r="G198" t="str">
        <f ca="1">IF(F198="","",$B$5+C198*$B$4-SUM($F$2:F198))</f>
        <v/>
      </c>
    </row>
    <row r="199" spans="4:7" x14ac:dyDescent="0.25">
      <c r="D199" t="str">
        <f ca="1">IF(SUM($D$2:D198)&gt;$B$3,"",D198+_xll.RiskExpon($B$2))</f>
        <v/>
      </c>
      <c r="E199" t="str">
        <f t="shared" ca="1" si="3"/>
        <v/>
      </c>
      <c r="F199" t="str">
        <f ca="1">IF(E199="","",_xll.RiskExpon($B$1))</f>
        <v/>
      </c>
      <c r="G199" t="str">
        <f ca="1">IF(F199="","",$B$5+C199*$B$4-SUM($F$2:F199))</f>
        <v/>
      </c>
    </row>
    <row r="200" spans="4:7" x14ac:dyDescent="0.25">
      <c r="D200" t="str">
        <f ca="1">IF(SUM($D$2:D199)&gt;$B$3,"",D199+_xll.RiskExpon($B$2))</f>
        <v/>
      </c>
      <c r="E200" t="str">
        <f t="shared" ca="1" si="3"/>
        <v/>
      </c>
      <c r="F200" t="str">
        <f ca="1">IF(E200="","",_xll.RiskExpon($B$1))</f>
        <v/>
      </c>
      <c r="G200" t="str">
        <f ca="1">IF(F200="","",$B$5+C200*$B$4-SUM($F$2:F200))</f>
        <v/>
      </c>
    </row>
    <row r="201" spans="4:7" x14ac:dyDescent="0.25">
      <c r="D201" t="str">
        <f ca="1">IF(SUM($D$2:D200)&gt;$B$3,"",D200+_xll.RiskExpon($B$2))</f>
        <v/>
      </c>
      <c r="E201" t="str">
        <f t="shared" ca="1" si="3"/>
        <v/>
      </c>
      <c r="F201" t="str">
        <f ca="1">IF(E201="","",_xll.RiskExpon($B$1))</f>
        <v/>
      </c>
      <c r="G201" t="str">
        <f ca="1">IF(F201="","",$B$5+C201*$B$4-SUM($F$2:F201))</f>
        <v/>
      </c>
    </row>
    <row r="202" spans="4:7" x14ac:dyDescent="0.25">
      <c r="D202" t="str">
        <f ca="1">IF(SUM($D$2:D201)&gt;$B$3,"",D201+_xll.RiskExpon($B$2))</f>
        <v/>
      </c>
      <c r="E202" t="str">
        <f t="shared" ca="1" si="3"/>
        <v/>
      </c>
      <c r="F202" t="str">
        <f ca="1">IF(E202="","",_xll.RiskExpon($B$1))</f>
        <v/>
      </c>
      <c r="G202" t="str">
        <f ca="1">IF(F202="","",$B$5+C202*$B$4-SUM($F$2:F202))</f>
        <v/>
      </c>
    </row>
    <row r="203" spans="4:7" x14ac:dyDescent="0.25">
      <c r="D203" t="str">
        <f ca="1">IF(SUM($D$2:D202)&gt;$B$3,"",D202+_xll.RiskExpon($B$2))</f>
        <v/>
      </c>
      <c r="E203" t="str">
        <f t="shared" ca="1" si="3"/>
        <v/>
      </c>
      <c r="F203" t="str">
        <f ca="1">IF(E203="","",_xll.RiskExpon($B$1))</f>
        <v/>
      </c>
      <c r="G203" t="str">
        <f ca="1">IF(F203="","",$B$5+C203*$B$4-SUM($F$2:F203))</f>
        <v/>
      </c>
    </row>
    <row r="204" spans="4:7" x14ac:dyDescent="0.25">
      <c r="D204" t="str">
        <f ca="1">IF(SUM($D$2:D203)&gt;$B$3,"",D203+_xll.RiskExpon($B$2))</f>
        <v/>
      </c>
      <c r="E204" t="str">
        <f t="shared" ca="1" si="3"/>
        <v/>
      </c>
      <c r="F204" t="str">
        <f ca="1">IF(E204="","",_xll.RiskExpon($B$1))</f>
        <v/>
      </c>
      <c r="G204" t="str">
        <f ca="1">IF(F204="","",$B$5+C204*$B$4-SUM($F$2:F204))</f>
        <v/>
      </c>
    </row>
    <row r="205" spans="4:7" x14ac:dyDescent="0.25">
      <c r="D205" t="str">
        <f ca="1">IF(SUM($D$2:D204)&gt;$B$3,"",D204+_xll.RiskExpon($B$2))</f>
        <v/>
      </c>
      <c r="E205" t="str">
        <f t="shared" ca="1" si="3"/>
        <v/>
      </c>
      <c r="F205" t="str">
        <f ca="1">IF(E205="","",_xll.RiskExpon($B$1))</f>
        <v/>
      </c>
      <c r="G205" t="str">
        <f ca="1">IF(F205="","",$B$5+C205*$B$4-SUM($F$2:F205))</f>
        <v/>
      </c>
    </row>
    <row r="206" spans="4:7" x14ac:dyDescent="0.25">
      <c r="D206" t="str">
        <f ca="1">IF(SUM($D$2:D205)&gt;$B$3,"",D205+_xll.RiskExpon($B$2))</f>
        <v/>
      </c>
      <c r="E206" t="str">
        <f t="shared" ca="1" si="3"/>
        <v/>
      </c>
      <c r="F206" t="str">
        <f ca="1">IF(E206="","",_xll.RiskExpon($B$1))</f>
        <v/>
      </c>
      <c r="G206" t="str">
        <f ca="1">IF(F206="","",$B$5+C206*$B$4-SUM($F$2:F206))</f>
        <v/>
      </c>
    </row>
    <row r="207" spans="4:7" x14ac:dyDescent="0.25">
      <c r="D207" t="str">
        <f ca="1">IF(SUM($D$2:D206)&gt;$B$3,"",D206+_xll.RiskExpon($B$2))</f>
        <v/>
      </c>
      <c r="E207" t="str">
        <f t="shared" ca="1" si="3"/>
        <v/>
      </c>
      <c r="F207" t="str">
        <f ca="1">IF(E207="","",_xll.RiskExpon($B$1))</f>
        <v/>
      </c>
      <c r="G207" t="str">
        <f ca="1">IF(F207="","",$B$5+C207*$B$4-SUM($F$2:F207))</f>
        <v/>
      </c>
    </row>
    <row r="208" spans="4:7" x14ac:dyDescent="0.25">
      <c r="D208" t="str">
        <f ca="1">IF(SUM($D$2:D207)&gt;$B$3,"",D207+_xll.RiskExpon($B$2))</f>
        <v/>
      </c>
      <c r="E208" t="str">
        <f t="shared" ca="1" si="3"/>
        <v/>
      </c>
      <c r="F208" t="str">
        <f ca="1">IF(E208="","",_xll.RiskExpon($B$1))</f>
        <v/>
      </c>
      <c r="G208" t="str">
        <f ca="1">IF(F208="","",$B$5+C208*$B$4-SUM($F$2:F208))</f>
        <v/>
      </c>
    </row>
    <row r="209" spans="4:7" x14ac:dyDescent="0.25">
      <c r="D209" t="str">
        <f ca="1">IF(SUM($D$2:D208)&gt;$B$3,"",D208+_xll.RiskExpon($B$2))</f>
        <v/>
      </c>
      <c r="E209" t="str">
        <f t="shared" ca="1" si="3"/>
        <v/>
      </c>
      <c r="F209" t="str">
        <f ca="1">IF(E209="","",_xll.RiskExpon($B$1))</f>
        <v/>
      </c>
      <c r="G209" t="str">
        <f ca="1">IF(F209="","",$B$5+C209*$B$4-SUM($F$2:F209))</f>
        <v/>
      </c>
    </row>
    <row r="210" spans="4:7" x14ac:dyDescent="0.25">
      <c r="D210" t="str">
        <f ca="1">IF(SUM($D$2:D209)&gt;$B$3,"",D209+_xll.RiskExpon($B$2))</f>
        <v/>
      </c>
      <c r="E210" t="str">
        <f t="shared" ca="1" si="3"/>
        <v/>
      </c>
      <c r="F210" t="str">
        <f ca="1">IF(E210="","",_xll.RiskExpon($B$1))</f>
        <v/>
      </c>
      <c r="G210" t="str">
        <f ca="1">IF(F210="","",$B$5+C210*$B$4-SUM($F$2:F210))</f>
        <v/>
      </c>
    </row>
    <row r="211" spans="4:7" x14ac:dyDescent="0.25">
      <c r="D211" t="str">
        <f ca="1">IF(SUM($D$2:D210)&gt;$B$3,"",D210+_xll.RiskExpon($B$2))</f>
        <v/>
      </c>
      <c r="E211" t="str">
        <f t="shared" ca="1" si="3"/>
        <v/>
      </c>
      <c r="F211" t="str">
        <f ca="1">IF(E211="","",_xll.RiskExpon($B$1))</f>
        <v/>
      </c>
      <c r="G211" t="str">
        <f ca="1">IF(F211="","",$B$5+C211*$B$4-SUM($F$2:F211))</f>
        <v/>
      </c>
    </row>
    <row r="212" spans="4:7" x14ac:dyDescent="0.25">
      <c r="D212" t="str">
        <f ca="1">IF(SUM($D$2:D211)&gt;$B$3,"",D211+_xll.RiskExpon($B$2))</f>
        <v/>
      </c>
      <c r="E212" t="str">
        <f t="shared" ca="1" si="3"/>
        <v/>
      </c>
      <c r="F212" t="str">
        <f ca="1">IF(E212="","",_xll.RiskExpon($B$1))</f>
        <v/>
      </c>
      <c r="G212" t="str">
        <f ca="1">IF(F212="","",$B$5+C212*$B$4-SUM($F$2:F212))</f>
        <v/>
      </c>
    </row>
    <row r="213" spans="4:7" x14ac:dyDescent="0.25">
      <c r="D213" t="str">
        <f ca="1">IF(SUM($D$2:D212)&gt;$B$3,"",D212+_xll.RiskExpon($B$2))</f>
        <v/>
      </c>
      <c r="E213" t="str">
        <f t="shared" ca="1" si="3"/>
        <v/>
      </c>
      <c r="F213" t="str">
        <f ca="1">IF(E213="","",_xll.RiskExpon($B$1))</f>
        <v/>
      </c>
      <c r="G213" t="str">
        <f ca="1">IF(F213="","",$B$5+C213*$B$4-SUM($F$2:F213))</f>
        <v/>
      </c>
    </row>
    <row r="214" spans="4:7" x14ac:dyDescent="0.25">
      <c r="D214" t="str">
        <f ca="1">IF(SUM($D$2:D213)&gt;$B$3,"",D213+_xll.RiskExpon($B$2))</f>
        <v/>
      </c>
      <c r="E214" t="str">
        <f t="shared" ca="1" si="3"/>
        <v/>
      </c>
      <c r="F214" t="str">
        <f ca="1">IF(E214="","",_xll.RiskExpon($B$1))</f>
        <v/>
      </c>
      <c r="G214" t="str">
        <f ca="1">IF(F214="","",$B$5+C214*$B$4-SUM($F$2:F214))</f>
        <v/>
      </c>
    </row>
    <row r="215" spans="4:7" x14ac:dyDescent="0.25">
      <c r="D215" t="str">
        <f ca="1">IF(SUM($D$2:D214)&gt;$B$3,"",D214+_xll.RiskExpon($B$2))</f>
        <v/>
      </c>
      <c r="E215" t="str">
        <f t="shared" ca="1" si="3"/>
        <v/>
      </c>
      <c r="F215" t="str">
        <f ca="1">IF(E215="","",_xll.RiskExpon($B$1))</f>
        <v/>
      </c>
      <c r="G215" t="str">
        <f ca="1">IF(F215="","",$B$5+C215*$B$4-SUM($F$2:F215))</f>
        <v/>
      </c>
    </row>
    <row r="216" spans="4:7" x14ac:dyDescent="0.25">
      <c r="D216" t="str">
        <f ca="1">IF(SUM($D$2:D215)&gt;$B$3,"",D215+_xll.RiskExpon($B$2))</f>
        <v/>
      </c>
      <c r="E216" t="str">
        <f t="shared" ca="1" si="3"/>
        <v/>
      </c>
      <c r="F216" t="str">
        <f ca="1">IF(E216="","",_xll.RiskExpon($B$1))</f>
        <v/>
      </c>
      <c r="G216" t="str">
        <f ca="1">IF(F216="","",$B$5+C216*$B$4-SUM($F$2:F216))</f>
        <v/>
      </c>
    </row>
    <row r="217" spans="4:7" x14ac:dyDescent="0.25">
      <c r="D217" t="str">
        <f ca="1">IF(SUM($D$2:D216)&gt;$B$3,"",D216+_xll.RiskExpon($B$2))</f>
        <v/>
      </c>
      <c r="E217" t="str">
        <f t="shared" ca="1" si="3"/>
        <v/>
      </c>
      <c r="F217" t="str">
        <f ca="1">IF(E217="","",_xll.RiskExpon($B$1))</f>
        <v/>
      </c>
      <c r="G217" t="str">
        <f ca="1">IF(F217="","",$B$5+C217*$B$4-SUM($F$2:F217))</f>
        <v/>
      </c>
    </row>
    <row r="218" spans="4:7" x14ac:dyDescent="0.25">
      <c r="D218" t="str">
        <f ca="1">IF(SUM($D$2:D217)&gt;$B$3,"",D217+_xll.RiskExpon($B$2))</f>
        <v/>
      </c>
      <c r="E218" t="str">
        <f t="shared" ca="1" si="3"/>
        <v/>
      </c>
      <c r="F218" t="str">
        <f ca="1">IF(E218="","",_xll.RiskExpon($B$1))</f>
        <v/>
      </c>
      <c r="G218" t="str">
        <f ca="1">IF(F218="","",$B$5+C218*$B$4-SUM($F$2:F218))</f>
        <v/>
      </c>
    </row>
    <row r="219" spans="4:7" x14ac:dyDescent="0.25">
      <c r="D219" t="str">
        <f ca="1">IF(SUM($D$2:D218)&gt;$B$3,"",D218+_xll.RiskExpon($B$2))</f>
        <v/>
      </c>
      <c r="E219" t="str">
        <f t="shared" ca="1" si="3"/>
        <v/>
      </c>
      <c r="F219" t="str">
        <f ca="1">IF(E219="","",_xll.RiskExpon($B$1))</f>
        <v/>
      </c>
      <c r="G219" t="str">
        <f ca="1">IF(F219="","",$B$5+C219*$B$4-SUM($F$2:F219))</f>
        <v/>
      </c>
    </row>
    <row r="220" spans="4:7" x14ac:dyDescent="0.25">
      <c r="D220" t="str">
        <f ca="1">IF(SUM($D$2:D219)&gt;$B$3,"",D219+_xll.RiskExpon($B$2))</f>
        <v/>
      </c>
      <c r="E220" t="str">
        <f t="shared" ca="1" si="3"/>
        <v/>
      </c>
      <c r="F220" t="str">
        <f ca="1">IF(E220="","",_xll.RiskExpon($B$1))</f>
        <v/>
      </c>
      <c r="G220" t="str">
        <f ca="1">IF(F220="","",$B$5+C220*$B$4-SUM($F$2:F220))</f>
        <v/>
      </c>
    </row>
    <row r="221" spans="4:7" x14ac:dyDescent="0.25">
      <c r="D221" t="str">
        <f ca="1">IF(SUM($D$2:D220)&gt;$B$3,"",D220+_xll.RiskExpon($B$2))</f>
        <v/>
      </c>
      <c r="E221" t="str">
        <f t="shared" ca="1" si="3"/>
        <v/>
      </c>
      <c r="F221" t="str">
        <f ca="1">IF(E221="","",_xll.RiskExpon($B$1))</f>
        <v/>
      </c>
      <c r="G221" t="str">
        <f ca="1">IF(F221="","",$B$5+C221*$B$4-SUM($F$2:F221))</f>
        <v/>
      </c>
    </row>
    <row r="222" spans="4:7" x14ac:dyDescent="0.25">
      <c r="D222" t="str">
        <f ca="1">IF(SUM($D$2:D221)&gt;$B$3,"",D221+_xll.RiskExpon($B$2))</f>
        <v/>
      </c>
      <c r="E222" t="str">
        <f t="shared" ca="1" si="3"/>
        <v/>
      </c>
      <c r="F222" t="str">
        <f ca="1">IF(E222="","",_xll.RiskExpon($B$1))</f>
        <v/>
      </c>
      <c r="G222" t="str">
        <f ca="1">IF(F222="","",$B$5+C222*$B$4-SUM($F$2:F222))</f>
        <v/>
      </c>
    </row>
    <row r="223" spans="4:7" x14ac:dyDescent="0.25">
      <c r="D223" t="str">
        <f ca="1">IF(SUM($D$2:D222)&gt;$B$3,"",D222+_xll.RiskExpon($B$2))</f>
        <v/>
      </c>
      <c r="E223" t="str">
        <f t="shared" ca="1" si="3"/>
        <v/>
      </c>
      <c r="F223" t="str">
        <f ca="1">IF(E223="","",_xll.RiskExpon($B$1))</f>
        <v/>
      </c>
      <c r="G223" t="str">
        <f ca="1">IF(F223="","",$B$5+C223*$B$4-SUM($F$2:F223))</f>
        <v/>
      </c>
    </row>
    <row r="224" spans="4:7" x14ac:dyDescent="0.25">
      <c r="D224" t="str">
        <f ca="1">IF(SUM($D$2:D223)&gt;$B$3,"",D223+_xll.RiskExpon($B$2))</f>
        <v/>
      </c>
      <c r="E224" t="str">
        <f t="shared" ca="1" si="3"/>
        <v/>
      </c>
      <c r="F224" t="str">
        <f ca="1">IF(E224="","",_xll.RiskExpon($B$1))</f>
        <v/>
      </c>
      <c r="G224" t="str">
        <f ca="1">IF(F224="","",$B$5+C224*$B$4-SUM($F$2:F224))</f>
        <v/>
      </c>
    </row>
    <row r="225" spans="4:7" x14ac:dyDescent="0.25">
      <c r="D225" t="str">
        <f ca="1">IF(SUM($D$2:D224)&gt;$B$3,"",D224+_xll.RiskExpon($B$2))</f>
        <v/>
      </c>
      <c r="E225" t="str">
        <f t="shared" ca="1" si="3"/>
        <v/>
      </c>
      <c r="F225" t="str">
        <f ca="1">IF(E225="","",_xll.RiskExpon($B$1))</f>
        <v/>
      </c>
      <c r="G225" t="str">
        <f ca="1">IF(F225="","",$B$5+C225*$B$4-SUM($F$2:F225))</f>
        <v/>
      </c>
    </row>
    <row r="226" spans="4:7" x14ac:dyDescent="0.25">
      <c r="D226" t="str">
        <f ca="1">IF(SUM($D$2:D225)&gt;$B$3,"",D225+_xll.RiskExpon($B$2))</f>
        <v/>
      </c>
      <c r="E226" t="str">
        <f t="shared" ca="1" si="3"/>
        <v/>
      </c>
      <c r="F226" t="str">
        <f ca="1">IF(E226="","",_xll.RiskExpon($B$1))</f>
        <v/>
      </c>
      <c r="G226" t="str">
        <f ca="1">IF(F226="","",$B$5+C226*$B$4-SUM($F$2:F226))</f>
        <v/>
      </c>
    </row>
    <row r="227" spans="4:7" x14ac:dyDescent="0.25">
      <c r="D227" t="str">
        <f ca="1">IF(SUM($D$2:D226)&gt;$B$3,"",D226+_xll.RiskExpon($B$2))</f>
        <v/>
      </c>
      <c r="E227" t="str">
        <f t="shared" ca="1" si="3"/>
        <v/>
      </c>
      <c r="F227" t="str">
        <f ca="1">IF(E227="","",_xll.RiskExpon($B$1))</f>
        <v/>
      </c>
      <c r="G227" t="str">
        <f ca="1">IF(F227="","",$B$5+C227*$B$4-SUM($F$2:F227))</f>
        <v/>
      </c>
    </row>
    <row r="228" spans="4:7" x14ac:dyDescent="0.25">
      <c r="D228" t="str">
        <f ca="1">IF(SUM($D$2:D227)&gt;$B$3,"",D227+_xll.RiskExpon($B$2))</f>
        <v/>
      </c>
      <c r="E228" t="str">
        <f t="shared" ca="1" si="3"/>
        <v/>
      </c>
      <c r="F228" t="str">
        <f ca="1">IF(E228="","",_xll.RiskExpon($B$1))</f>
        <v/>
      </c>
      <c r="G228" t="str">
        <f ca="1">IF(F228="","",$B$5+C228*$B$4-SUM($F$2:F228))</f>
        <v/>
      </c>
    </row>
    <row r="229" spans="4:7" x14ac:dyDescent="0.25">
      <c r="D229" t="str">
        <f ca="1">IF(SUM($D$2:D228)&gt;$B$3,"",D228+_xll.RiskExpon($B$2))</f>
        <v/>
      </c>
      <c r="E229" t="str">
        <f t="shared" ca="1" si="3"/>
        <v/>
      </c>
      <c r="F229" t="str">
        <f ca="1">IF(E229="","",_xll.RiskExpon($B$1))</f>
        <v/>
      </c>
      <c r="G229" t="str">
        <f ca="1">IF(F229="","",$B$5+C229*$B$4-SUM($F$2:F229))</f>
        <v/>
      </c>
    </row>
    <row r="230" spans="4:7" x14ac:dyDescent="0.25">
      <c r="D230" t="str">
        <f ca="1">IF(SUM($D$2:D229)&gt;$B$3,"",D229+_xll.RiskExpon($B$2))</f>
        <v/>
      </c>
      <c r="E230" t="str">
        <f t="shared" ca="1" si="3"/>
        <v/>
      </c>
      <c r="F230" t="str">
        <f ca="1">IF(E230="","",_xll.RiskExpon($B$1))</f>
        <v/>
      </c>
      <c r="G230" t="str">
        <f ca="1">IF(F230="","",$B$5+C230*$B$4-SUM($F$2:F230))</f>
        <v/>
      </c>
    </row>
    <row r="231" spans="4:7" x14ac:dyDescent="0.25">
      <c r="D231" t="str">
        <f ca="1">IF(SUM($D$2:D230)&gt;$B$3,"",D230+_xll.RiskExpon($B$2))</f>
        <v/>
      </c>
      <c r="E231" t="str">
        <f t="shared" ca="1" si="3"/>
        <v/>
      </c>
      <c r="F231" t="str">
        <f ca="1">IF(E231="","",_xll.RiskExpon($B$1))</f>
        <v/>
      </c>
      <c r="G231" t="str">
        <f ca="1">IF(F231="","",$B$5+C231*$B$4-SUM($F$2:F231))</f>
        <v/>
      </c>
    </row>
    <row r="232" spans="4:7" x14ac:dyDescent="0.25">
      <c r="D232" t="str">
        <f ca="1">IF(SUM($D$2:D231)&gt;$B$3,"",D231+_xll.RiskExpon($B$2))</f>
        <v/>
      </c>
      <c r="E232" t="str">
        <f t="shared" ca="1" si="3"/>
        <v/>
      </c>
      <c r="F232" t="str">
        <f ca="1">IF(E232="","",_xll.RiskExpon($B$1))</f>
        <v/>
      </c>
      <c r="G232" t="str">
        <f ca="1">IF(F232="","",$B$5+C232*$B$4-SUM($F$2:F232))</f>
        <v/>
      </c>
    </row>
    <row r="233" spans="4:7" x14ac:dyDescent="0.25">
      <c r="D233" t="str">
        <f ca="1">IF(SUM($D$2:D232)&gt;$B$3,"",D232+_xll.RiskExpon($B$2))</f>
        <v/>
      </c>
      <c r="E233" t="str">
        <f t="shared" ca="1" si="3"/>
        <v/>
      </c>
      <c r="F233" t="str">
        <f ca="1">IF(E233="","",_xll.RiskExpon($B$1))</f>
        <v/>
      </c>
      <c r="G233" t="str">
        <f ca="1">IF(F233="","",$B$5+C233*$B$4-SUM($F$2:F233))</f>
        <v/>
      </c>
    </row>
    <row r="234" spans="4:7" x14ac:dyDescent="0.25">
      <c r="D234" t="str">
        <f ca="1">IF(SUM($D$2:D233)&gt;$B$3,"",D233+_xll.RiskExpon($B$2))</f>
        <v/>
      </c>
      <c r="E234" t="str">
        <f t="shared" ca="1" si="3"/>
        <v/>
      </c>
      <c r="F234" t="str">
        <f ca="1">IF(E234="","",_xll.RiskExpon($B$1))</f>
        <v/>
      </c>
      <c r="G234" t="str">
        <f ca="1">IF(F234="","",$B$5+C234*$B$4-SUM($F$2:F234))</f>
        <v/>
      </c>
    </row>
    <row r="235" spans="4:7" x14ac:dyDescent="0.25">
      <c r="D235" t="str">
        <f ca="1">IF(SUM($D$2:D234)&gt;$B$3,"",D234+_xll.RiskExpon($B$2))</f>
        <v/>
      </c>
      <c r="E235" t="str">
        <f t="shared" ca="1" si="3"/>
        <v/>
      </c>
      <c r="F235" t="str">
        <f ca="1">IF(E235="","",_xll.RiskExpon($B$1))</f>
        <v/>
      </c>
      <c r="G235" t="str">
        <f ca="1">IF(F235="","",$B$5+C235*$B$4-SUM($F$2:F235))</f>
        <v/>
      </c>
    </row>
    <row r="236" spans="4:7" x14ac:dyDescent="0.25">
      <c r="D236" t="str">
        <f ca="1">IF(SUM($D$2:D235)&gt;$B$3,"",D235+_xll.RiskExpon($B$2))</f>
        <v/>
      </c>
      <c r="E236" t="str">
        <f t="shared" ca="1" si="3"/>
        <v/>
      </c>
      <c r="F236" t="str">
        <f ca="1">IF(E236="","",_xll.RiskExpon($B$1))</f>
        <v/>
      </c>
      <c r="G236" t="str">
        <f ca="1">IF(F236="","",$B$5+C236*$B$4-SUM($F$2:F236))</f>
        <v/>
      </c>
    </row>
    <row r="237" spans="4:7" x14ac:dyDescent="0.25">
      <c r="D237" t="str">
        <f ca="1">IF(SUM($D$2:D236)&gt;$B$3,"",D236+_xll.RiskExpon($B$2))</f>
        <v/>
      </c>
      <c r="E237" t="str">
        <f t="shared" ca="1" si="3"/>
        <v/>
      </c>
      <c r="F237" t="str">
        <f ca="1">IF(E237="","",_xll.RiskExpon($B$1))</f>
        <v/>
      </c>
      <c r="G237" t="str">
        <f ca="1">IF(F237="","",$B$5+C237*$B$4-SUM($F$2:F237))</f>
        <v/>
      </c>
    </row>
    <row r="238" spans="4:7" x14ac:dyDescent="0.25">
      <c r="D238" t="str">
        <f ca="1">IF(SUM($D$2:D237)&gt;$B$3,"",D237+_xll.RiskExpon($B$2))</f>
        <v/>
      </c>
      <c r="E238" t="str">
        <f t="shared" ca="1" si="3"/>
        <v/>
      </c>
      <c r="F238" t="str">
        <f ca="1">IF(E238="","",_xll.RiskExpon($B$1))</f>
        <v/>
      </c>
      <c r="G238" t="str">
        <f ca="1">IF(F238="","",$B$5+C238*$B$4-SUM($F$2:F238))</f>
        <v/>
      </c>
    </row>
    <row r="239" spans="4:7" x14ac:dyDescent="0.25">
      <c r="D239" t="str">
        <f ca="1">IF(SUM($D$2:D238)&gt;$B$3,"",D238+_xll.RiskExpon($B$2))</f>
        <v/>
      </c>
      <c r="E239" t="str">
        <f t="shared" ca="1" si="3"/>
        <v/>
      </c>
      <c r="F239" t="str">
        <f ca="1">IF(E239="","",_xll.RiskExpon($B$1))</f>
        <v/>
      </c>
      <c r="G239" t="str">
        <f ca="1">IF(F239="","",$B$5+C239*$B$4-SUM($F$2:F239))</f>
        <v/>
      </c>
    </row>
    <row r="240" spans="4:7" x14ac:dyDescent="0.25">
      <c r="D240" t="str">
        <f ca="1">IF(SUM($D$2:D239)&gt;$B$3,"",D239+_xll.RiskExpon($B$2))</f>
        <v/>
      </c>
      <c r="E240" t="str">
        <f t="shared" ca="1" si="3"/>
        <v/>
      </c>
      <c r="F240" t="str">
        <f ca="1">IF(E240="","",_xll.RiskExpon($B$1))</f>
        <v/>
      </c>
      <c r="G240" t="str">
        <f ca="1">IF(F240="","",$B$5+C240*$B$4-SUM($F$2:F240))</f>
        <v/>
      </c>
    </row>
    <row r="241" spans="4:7" x14ac:dyDescent="0.25">
      <c r="D241" t="str">
        <f ca="1">IF(SUM($D$2:D240)&gt;$B$3,"",D240+_xll.RiskExpon($B$2))</f>
        <v/>
      </c>
      <c r="E241" t="str">
        <f t="shared" ca="1" si="3"/>
        <v/>
      </c>
      <c r="F241" t="str">
        <f ca="1">IF(E241="","",_xll.RiskExpon($B$1))</f>
        <v/>
      </c>
      <c r="G241" t="str">
        <f ca="1">IF(F241="","",$B$5+C241*$B$4-SUM($F$2:F241))</f>
        <v/>
      </c>
    </row>
    <row r="242" spans="4:7" x14ac:dyDescent="0.25">
      <c r="D242" t="str">
        <f ca="1">IF(SUM($D$2:D241)&gt;$B$3,"",D241+_xll.RiskExpon($B$2))</f>
        <v/>
      </c>
      <c r="E242" t="str">
        <f t="shared" ca="1" si="3"/>
        <v/>
      </c>
      <c r="F242" t="str">
        <f ca="1">IF(E242="","",_xll.RiskExpon($B$1))</f>
        <v/>
      </c>
      <c r="G242" t="str">
        <f ca="1">IF(F242="","",$B$5+C242*$B$4-SUM($F$2:F242))</f>
        <v/>
      </c>
    </row>
    <row r="243" spans="4:7" x14ac:dyDescent="0.25">
      <c r="D243" t="str">
        <f ca="1">IF(SUM($D$2:D242)&gt;$B$3,"",D242+_xll.RiskExpon($B$2))</f>
        <v/>
      </c>
      <c r="E243" t="str">
        <f t="shared" ca="1" si="3"/>
        <v/>
      </c>
      <c r="F243" t="str">
        <f ca="1">IF(E243="","",_xll.RiskExpon($B$1))</f>
        <v/>
      </c>
      <c r="G243" t="str">
        <f ca="1">IF(F243="","",$B$5+C243*$B$4-SUM($F$2:F243))</f>
        <v/>
      </c>
    </row>
    <row r="244" spans="4:7" x14ac:dyDescent="0.25">
      <c r="D244" t="str">
        <f ca="1">IF(SUM($D$2:D243)&gt;$B$3,"",D243+_xll.RiskExpon($B$2))</f>
        <v/>
      </c>
      <c r="E244" t="str">
        <f t="shared" ca="1" si="3"/>
        <v/>
      </c>
      <c r="F244" t="str">
        <f ca="1">IF(E244="","",_xll.RiskExpon($B$1))</f>
        <v/>
      </c>
      <c r="G244" t="str">
        <f ca="1">IF(F244="","",$B$5+C244*$B$4-SUM($F$2:F244))</f>
        <v/>
      </c>
    </row>
    <row r="245" spans="4:7" x14ac:dyDescent="0.25">
      <c r="D245" t="str">
        <f ca="1">IF(SUM($D$2:D244)&gt;$B$3,"",D244+_xll.RiskExpon($B$2))</f>
        <v/>
      </c>
      <c r="E245" t="str">
        <f t="shared" ca="1" si="3"/>
        <v/>
      </c>
      <c r="F245" t="str">
        <f ca="1">IF(E245="","",_xll.RiskExpon($B$1))</f>
        <v/>
      </c>
      <c r="G245" t="str">
        <f ca="1">IF(F245="","",$B$5+C245*$B$4-SUM($F$2:F245))</f>
        <v/>
      </c>
    </row>
    <row r="246" spans="4:7" x14ac:dyDescent="0.25">
      <c r="D246" t="str">
        <f ca="1">IF(SUM($D$2:D245)&gt;$B$3,"",D245+_xll.RiskExpon($B$2))</f>
        <v/>
      </c>
      <c r="E246" t="str">
        <f t="shared" ca="1" si="3"/>
        <v/>
      </c>
      <c r="F246" t="str">
        <f ca="1">IF(E246="","",_xll.RiskExpon($B$1))</f>
        <v/>
      </c>
      <c r="G246" t="str">
        <f ca="1">IF(F246="","",$B$5+C246*$B$4-SUM($F$2:F246))</f>
        <v/>
      </c>
    </row>
    <row r="247" spans="4:7" x14ac:dyDescent="0.25">
      <c r="D247" t="str">
        <f ca="1">IF(SUM($D$2:D246)&gt;$B$3,"",D246+_xll.RiskExpon($B$2))</f>
        <v/>
      </c>
      <c r="E247" t="str">
        <f t="shared" ca="1" si="3"/>
        <v/>
      </c>
      <c r="F247" t="str">
        <f ca="1">IF(E247="","",_xll.RiskExpon($B$1))</f>
        <v/>
      </c>
      <c r="G247" t="str">
        <f ca="1">IF(F247="","",$B$5+C247*$B$4-SUM($F$2:F247))</f>
        <v/>
      </c>
    </row>
    <row r="248" spans="4:7" x14ac:dyDescent="0.25">
      <c r="D248" t="str">
        <f ca="1">IF(SUM($D$2:D247)&gt;$B$3,"",D247+_xll.RiskExpon($B$2))</f>
        <v/>
      </c>
      <c r="E248" t="str">
        <f t="shared" ca="1" si="3"/>
        <v/>
      </c>
      <c r="F248" t="str">
        <f ca="1">IF(E248="","",_xll.RiskExpon($B$1))</f>
        <v/>
      </c>
      <c r="G248" t="str">
        <f ca="1">IF(F248="","",$B$5+C248*$B$4-SUM($F$2:F248))</f>
        <v/>
      </c>
    </row>
    <row r="249" spans="4:7" x14ac:dyDescent="0.25">
      <c r="D249" t="str">
        <f ca="1">IF(SUM($D$2:D248)&gt;$B$3,"",D248+_xll.RiskExpon($B$2))</f>
        <v/>
      </c>
      <c r="E249" t="str">
        <f t="shared" ca="1" si="3"/>
        <v/>
      </c>
      <c r="F249" t="str">
        <f ca="1">IF(E249="","",_xll.RiskExpon($B$1))</f>
        <v/>
      </c>
      <c r="G249" t="str">
        <f ca="1">IF(F249="","",$B$5+C249*$B$4-SUM($F$2:F249))</f>
        <v/>
      </c>
    </row>
    <row r="250" spans="4:7" x14ac:dyDescent="0.25">
      <c r="D250" t="str">
        <f ca="1">IF(SUM($D$2:D249)&gt;$B$3,"",D249+_xll.RiskExpon($B$2))</f>
        <v/>
      </c>
      <c r="E250" t="str">
        <f t="shared" ca="1" si="3"/>
        <v/>
      </c>
      <c r="F250" t="str">
        <f ca="1">IF(E250="","",_xll.RiskExpon($B$1))</f>
        <v/>
      </c>
      <c r="G250" t="str">
        <f ca="1">IF(F250="","",$B$5+C250*$B$4-SUM($F$2:F250))</f>
        <v/>
      </c>
    </row>
    <row r="251" spans="4:7" x14ac:dyDescent="0.25">
      <c r="D251" t="str">
        <f ca="1">IF(SUM($D$2:D250)&gt;$B$3,"",D250+_xll.RiskExpon($B$2))</f>
        <v/>
      </c>
      <c r="E251" t="str">
        <f t="shared" ca="1" si="3"/>
        <v/>
      </c>
      <c r="F251" t="str">
        <f ca="1">IF(E251="","",_xll.RiskExpon($B$1))</f>
        <v/>
      </c>
      <c r="G251" t="str">
        <f ca="1">IF(F251="","",$B$5+C251*$B$4-SUM($F$2:F251))</f>
        <v/>
      </c>
    </row>
    <row r="252" spans="4:7" x14ac:dyDescent="0.25">
      <c r="D252" t="str">
        <f ca="1">IF(SUM($D$2:D251)&gt;$B$3,"",D251+_xll.RiskExpon($B$2))</f>
        <v/>
      </c>
      <c r="E252" t="str">
        <f t="shared" ca="1" si="3"/>
        <v/>
      </c>
      <c r="F252" t="str">
        <f ca="1">IF(E252="","",_xll.RiskExpon($B$1))</f>
        <v/>
      </c>
      <c r="G252" t="str">
        <f ca="1">IF(F252="","",$B$5+C252*$B$4-SUM($F$2:F252))</f>
        <v/>
      </c>
    </row>
    <row r="253" spans="4:7" x14ac:dyDescent="0.25">
      <c r="D253" t="str">
        <f ca="1">IF(SUM($D$2:D252)&gt;$B$3,"",D252+_xll.RiskExpon($B$2))</f>
        <v/>
      </c>
      <c r="E253" t="str">
        <f t="shared" ca="1" si="3"/>
        <v/>
      </c>
      <c r="F253" t="str">
        <f ca="1">IF(E253="","",_xll.RiskExpon($B$1))</f>
        <v/>
      </c>
      <c r="G253" t="str">
        <f ca="1">IF(F253="","",$B$5+C253*$B$4-SUM($F$2:F253))</f>
        <v/>
      </c>
    </row>
    <row r="254" spans="4:7" x14ac:dyDescent="0.25">
      <c r="D254" t="str">
        <f ca="1">IF(SUM($D$2:D253)&gt;$B$3,"",D253+_xll.RiskExpon($B$2))</f>
        <v/>
      </c>
      <c r="E254" t="str">
        <f t="shared" ca="1" si="3"/>
        <v/>
      </c>
      <c r="F254" t="str">
        <f ca="1">IF(E254="","",_xll.RiskExpon($B$1))</f>
        <v/>
      </c>
      <c r="G254" t="str">
        <f ca="1">IF(F254="","",$B$5+C254*$B$4-SUM($F$2:F254))</f>
        <v/>
      </c>
    </row>
    <row r="255" spans="4:7" x14ac:dyDescent="0.25">
      <c r="D255" t="str">
        <f ca="1">IF(SUM($D$2:D254)&gt;$B$3,"",D254+_xll.RiskExpon($B$2))</f>
        <v/>
      </c>
      <c r="E255" t="str">
        <f t="shared" ca="1" si="3"/>
        <v/>
      </c>
      <c r="F255" t="str">
        <f ca="1">IF(E255="","",_xll.RiskExpon($B$1))</f>
        <v/>
      </c>
      <c r="G255" t="str">
        <f ca="1">IF(F255="","",$B$5+C255*$B$4-SUM($F$2:F255))</f>
        <v/>
      </c>
    </row>
    <row r="256" spans="4:7" x14ac:dyDescent="0.25">
      <c r="D256" t="str">
        <f ca="1">IF(SUM($D$2:D255)&gt;$B$3,"",D255+_xll.RiskExpon($B$2))</f>
        <v/>
      </c>
      <c r="E256" t="str">
        <f t="shared" ca="1" si="3"/>
        <v/>
      </c>
      <c r="F256" t="str">
        <f ca="1">IF(E256="","",_xll.RiskExpon($B$1))</f>
        <v/>
      </c>
      <c r="G256" t="str">
        <f ca="1">IF(F256="","",$B$5+C256*$B$4-SUM($F$2:F256))</f>
        <v/>
      </c>
    </row>
    <row r="257" spans="4:7" x14ac:dyDescent="0.25">
      <c r="D257" t="str">
        <f ca="1">IF(SUM($D$2:D256)&gt;$B$3,"",D256+_xll.RiskExpon($B$2))</f>
        <v/>
      </c>
      <c r="E257" t="str">
        <f t="shared" ca="1" si="3"/>
        <v/>
      </c>
      <c r="F257" t="str">
        <f ca="1">IF(E257="","",_xll.RiskExpon($B$1))</f>
        <v/>
      </c>
      <c r="G257" t="str">
        <f ca="1">IF(F257="","",$B$5+C257*$B$4-SUM($F$2:F257))</f>
        <v/>
      </c>
    </row>
    <row r="258" spans="4:7" x14ac:dyDescent="0.25">
      <c r="D258" t="str">
        <f ca="1">IF(SUM($D$2:D257)&gt;$B$3,"",D257+_xll.RiskExpon($B$2))</f>
        <v/>
      </c>
      <c r="E258" t="str">
        <f t="shared" ca="1" si="3"/>
        <v/>
      </c>
      <c r="F258" t="str">
        <f ca="1">IF(E258="","",_xll.RiskExpon($B$1))</f>
        <v/>
      </c>
      <c r="G258" t="str">
        <f ca="1">IF(F258="","",$B$5+C258*$B$4-SUM($F$2:F258))</f>
        <v/>
      </c>
    </row>
    <row r="259" spans="4:7" x14ac:dyDescent="0.25">
      <c r="D259" t="str">
        <f ca="1">IF(SUM($D$2:D258)&gt;$B$3,"",D258+_xll.RiskExpon($B$2))</f>
        <v/>
      </c>
      <c r="E259" t="str">
        <f t="shared" ref="E259:E322" ca="1" si="4">IF(E258&lt;$B$6,E258+1,"")</f>
        <v/>
      </c>
      <c r="F259" t="str">
        <f ca="1">IF(E259="","",_xll.RiskExpon($B$1))</f>
        <v/>
      </c>
      <c r="G259" t="str">
        <f ca="1">IF(F259="","",$B$5+C259*$B$4-SUM($F$2:F259))</f>
        <v/>
      </c>
    </row>
    <row r="260" spans="4:7" x14ac:dyDescent="0.25">
      <c r="D260" t="str">
        <f ca="1">IF(SUM($D$2:D259)&gt;$B$3,"",D259+_xll.RiskExpon($B$2))</f>
        <v/>
      </c>
      <c r="E260" t="str">
        <f t="shared" ca="1" si="4"/>
        <v/>
      </c>
      <c r="F260" t="str">
        <f ca="1">IF(E260="","",_xll.RiskExpon($B$1))</f>
        <v/>
      </c>
      <c r="G260" t="str">
        <f ca="1">IF(F260="","",$B$5+C260*$B$4-SUM($F$2:F260))</f>
        <v/>
      </c>
    </row>
    <row r="261" spans="4:7" x14ac:dyDescent="0.25">
      <c r="D261" t="str">
        <f ca="1">IF(SUM($D$2:D260)&gt;$B$3,"",D260+_xll.RiskExpon($B$2))</f>
        <v/>
      </c>
      <c r="E261" t="str">
        <f t="shared" ca="1" si="4"/>
        <v/>
      </c>
      <c r="F261" t="str">
        <f ca="1">IF(E261="","",_xll.RiskExpon($B$1))</f>
        <v/>
      </c>
      <c r="G261" t="str">
        <f ca="1">IF(F261="","",$B$5+C261*$B$4-SUM($F$2:F261))</f>
        <v/>
      </c>
    </row>
    <row r="262" spans="4:7" x14ac:dyDescent="0.25">
      <c r="D262" t="str">
        <f ca="1">IF(SUM($D$2:D261)&gt;$B$3,"",D261+_xll.RiskExpon($B$2))</f>
        <v/>
      </c>
      <c r="E262" t="str">
        <f t="shared" ca="1" si="4"/>
        <v/>
      </c>
      <c r="F262" t="str">
        <f ca="1">IF(E262="","",_xll.RiskExpon($B$1))</f>
        <v/>
      </c>
      <c r="G262" t="str">
        <f ca="1">IF(F262="","",$B$5+C262*$B$4-SUM($F$2:F262))</f>
        <v/>
      </c>
    </row>
    <row r="263" spans="4:7" x14ac:dyDescent="0.25">
      <c r="D263" t="str">
        <f ca="1">IF(SUM($D$2:D262)&gt;$B$3,"",D262+_xll.RiskExpon($B$2))</f>
        <v/>
      </c>
      <c r="E263" t="str">
        <f t="shared" ca="1" si="4"/>
        <v/>
      </c>
      <c r="F263" t="str">
        <f ca="1">IF(E263="","",_xll.RiskExpon($B$1))</f>
        <v/>
      </c>
      <c r="G263" t="str">
        <f ca="1">IF(F263="","",$B$5+C263*$B$4-SUM($F$2:F263))</f>
        <v/>
      </c>
    </row>
    <row r="264" spans="4:7" x14ac:dyDescent="0.25">
      <c r="D264" t="str">
        <f ca="1">IF(SUM($D$2:D263)&gt;$B$3,"",D263+_xll.RiskExpon($B$2))</f>
        <v/>
      </c>
      <c r="E264" t="str">
        <f t="shared" ca="1" si="4"/>
        <v/>
      </c>
      <c r="F264" t="str">
        <f ca="1">IF(E264="","",_xll.RiskExpon($B$1))</f>
        <v/>
      </c>
      <c r="G264" t="str">
        <f ca="1">IF(F264="","",$B$5+C264*$B$4-SUM($F$2:F264))</f>
        <v/>
      </c>
    </row>
    <row r="265" spans="4:7" x14ac:dyDescent="0.25">
      <c r="D265" t="str">
        <f ca="1">IF(SUM($D$2:D264)&gt;$B$3,"",D264+_xll.RiskExpon($B$2))</f>
        <v/>
      </c>
      <c r="E265" t="str">
        <f t="shared" ca="1" si="4"/>
        <v/>
      </c>
      <c r="F265" t="str">
        <f ca="1">IF(E265="","",_xll.RiskExpon($B$1))</f>
        <v/>
      </c>
      <c r="G265" t="str">
        <f ca="1">IF(F265="","",$B$5+C265*$B$4-SUM($F$2:F265))</f>
        <v/>
      </c>
    </row>
    <row r="266" spans="4:7" x14ac:dyDescent="0.25">
      <c r="D266" t="str">
        <f ca="1">IF(SUM($D$2:D265)&gt;$B$3,"",D265+_xll.RiskExpon($B$2))</f>
        <v/>
      </c>
      <c r="E266" t="str">
        <f t="shared" ca="1" si="4"/>
        <v/>
      </c>
      <c r="F266" t="str">
        <f ca="1">IF(E266="","",_xll.RiskExpon($B$1))</f>
        <v/>
      </c>
      <c r="G266" t="str">
        <f ca="1">IF(F266="","",$B$5+C266*$B$4-SUM($F$2:F266))</f>
        <v/>
      </c>
    </row>
    <row r="267" spans="4:7" x14ac:dyDescent="0.25">
      <c r="D267" t="str">
        <f ca="1">IF(SUM($D$2:D266)&gt;$B$3,"",D266+_xll.RiskExpon($B$2))</f>
        <v/>
      </c>
      <c r="E267" t="str">
        <f t="shared" ca="1" si="4"/>
        <v/>
      </c>
      <c r="F267" t="str">
        <f ca="1">IF(E267="","",_xll.RiskExpon($B$1))</f>
        <v/>
      </c>
      <c r="G267" t="str">
        <f ca="1">IF(F267="","",$B$5+C267*$B$4-SUM($F$2:F267))</f>
        <v/>
      </c>
    </row>
    <row r="268" spans="4:7" x14ac:dyDescent="0.25">
      <c r="D268" t="str">
        <f ca="1">IF(SUM($D$2:D267)&gt;$B$3,"",D267+_xll.RiskExpon($B$2))</f>
        <v/>
      </c>
      <c r="E268" t="str">
        <f t="shared" ca="1" si="4"/>
        <v/>
      </c>
      <c r="F268" t="str">
        <f ca="1">IF(E268="","",_xll.RiskExpon($B$1))</f>
        <v/>
      </c>
      <c r="G268" t="str">
        <f ca="1">IF(F268="","",$B$5+C268*$B$4-SUM($F$2:F268))</f>
        <v/>
      </c>
    </row>
    <row r="269" spans="4:7" x14ac:dyDescent="0.25">
      <c r="D269" t="str">
        <f ca="1">IF(SUM($D$2:D268)&gt;$B$3,"",D268+_xll.RiskExpon($B$2))</f>
        <v/>
      </c>
      <c r="E269" t="str">
        <f t="shared" ca="1" si="4"/>
        <v/>
      </c>
      <c r="F269" t="str">
        <f ca="1">IF(E269="","",_xll.RiskExpon($B$1))</f>
        <v/>
      </c>
      <c r="G269" t="str">
        <f ca="1">IF(F269="","",$B$5+C269*$B$4-SUM($F$2:F269))</f>
        <v/>
      </c>
    </row>
    <row r="270" spans="4:7" x14ac:dyDescent="0.25">
      <c r="D270" t="str">
        <f ca="1">IF(SUM($D$2:D269)&gt;$B$3,"",D269+_xll.RiskExpon($B$2))</f>
        <v/>
      </c>
      <c r="E270" t="str">
        <f t="shared" ca="1" si="4"/>
        <v/>
      </c>
      <c r="F270" t="str">
        <f ca="1">IF(E270="","",_xll.RiskExpon($B$1))</f>
        <v/>
      </c>
      <c r="G270" t="str">
        <f ca="1">IF(F270="","",$B$5+C270*$B$4-SUM($F$2:F270))</f>
        <v/>
      </c>
    </row>
    <row r="271" spans="4:7" x14ac:dyDescent="0.25">
      <c r="D271" t="str">
        <f ca="1">IF(SUM($D$2:D270)&gt;$B$3,"",D270+_xll.RiskExpon($B$2))</f>
        <v/>
      </c>
      <c r="E271" t="str">
        <f t="shared" ca="1" si="4"/>
        <v/>
      </c>
      <c r="F271" t="str">
        <f ca="1">IF(E271="","",_xll.RiskExpon($B$1))</f>
        <v/>
      </c>
      <c r="G271" t="str">
        <f ca="1">IF(F271="","",$B$5+C271*$B$4-SUM($F$2:F271))</f>
        <v/>
      </c>
    </row>
    <row r="272" spans="4:7" x14ac:dyDescent="0.25">
      <c r="D272" t="str">
        <f ca="1">IF(SUM($D$2:D271)&gt;$B$3,"",D271+_xll.RiskExpon($B$2))</f>
        <v/>
      </c>
      <c r="E272" t="str">
        <f t="shared" ca="1" si="4"/>
        <v/>
      </c>
      <c r="F272" t="str">
        <f ca="1">IF(E272="","",_xll.RiskExpon($B$1))</f>
        <v/>
      </c>
      <c r="G272" t="str">
        <f ca="1">IF(F272="","",$B$5+C272*$B$4-SUM($F$2:F272))</f>
        <v/>
      </c>
    </row>
    <row r="273" spans="4:7" x14ac:dyDescent="0.25">
      <c r="D273" t="str">
        <f ca="1">IF(SUM($D$2:D272)&gt;$B$3,"",D272+_xll.RiskExpon($B$2))</f>
        <v/>
      </c>
      <c r="E273" t="str">
        <f t="shared" ca="1" si="4"/>
        <v/>
      </c>
      <c r="F273" t="str">
        <f ca="1">IF(E273="","",_xll.RiskExpon($B$1))</f>
        <v/>
      </c>
      <c r="G273" t="str">
        <f ca="1">IF(F273="","",$B$5+C273*$B$4-SUM($F$2:F273))</f>
        <v/>
      </c>
    </row>
    <row r="274" spans="4:7" x14ac:dyDescent="0.25">
      <c r="D274" t="str">
        <f ca="1">IF(SUM($D$2:D273)&gt;$B$3,"",D273+_xll.RiskExpon($B$2))</f>
        <v/>
      </c>
      <c r="E274" t="str">
        <f t="shared" ca="1" si="4"/>
        <v/>
      </c>
      <c r="F274" t="str">
        <f ca="1">IF(E274="","",_xll.RiskExpon($B$1))</f>
        <v/>
      </c>
      <c r="G274" t="str">
        <f ca="1">IF(F274="","",$B$5+C274*$B$4-SUM($F$2:F274))</f>
        <v/>
      </c>
    </row>
    <row r="275" spans="4:7" x14ac:dyDescent="0.25">
      <c r="D275" t="str">
        <f ca="1">IF(SUM($D$2:D274)&gt;$B$3,"",D274+_xll.RiskExpon($B$2))</f>
        <v/>
      </c>
      <c r="E275" t="str">
        <f t="shared" ca="1" si="4"/>
        <v/>
      </c>
      <c r="F275" t="str">
        <f ca="1">IF(E275="","",_xll.RiskExpon($B$1))</f>
        <v/>
      </c>
      <c r="G275" t="str">
        <f ca="1">IF(F275="","",$B$5+C275*$B$4-SUM($F$2:F275))</f>
        <v/>
      </c>
    </row>
    <row r="276" spans="4:7" x14ac:dyDescent="0.25">
      <c r="D276" t="str">
        <f ca="1">IF(SUM($D$2:D275)&gt;$B$3,"",D275+_xll.RiskExpon($B$2))</f>
        <v/>
      </c>
      <c r="E276" t="str">
        <f t="shared" ca="1" si="4"/>
        <v/>
      </c>
      <c r="F276" t="str">
        <f ca="1">IF(E276="","",_xll.RiskExpon($B$1))</f>
        <v/>
      </c>
      <c r="G276" t="str">
        <f ca="1">IF(F276="","",$B$5+C276*$B$4-SUM($F$2:F276))</f>
        <v/>
      </c>
    </row>
    <row r="277" spans="4:7" x14ac:dyDescent="0.25">
      <c r="D277" t="str">
        <f ca="1">IF(SUM($D$2:D276)&gt;$B$3,"",D276+_xll.RiskExpon($B$2))</f>
        <v/>
      </c>
      <c r="E277" t="str">
        <f t="shared" ca="1" si="4"/>
        <v/>
      </c>
      <c r="F277" t="str">
        <f ca="1">IF(E277="","",_xll.RiskExpon($B$1))</f>
        <v/>
      </c>
      <c r="G277" t="str">
        <f ca="1">IF(F277="","",$B$5+C277*$B$4-SUM($F$2:F277))</f>
        <v/>
      </c>
    </row>
    <row r="278" spans="4:7" x14ac:dyDescent="0.25">
      <c r="D278" t="str">
        <f ca="1">IF(SUM($D$2:D277)&gt;$B$3,"",D277+_xll.RiskExpon($B$2))</f>
        <v/>
      </c>
      <c r="E278" t="str">
        <f t="shared" ca="1" si="4"/>
        <v/>
      </c>
      <c r="F278" t="str">
        <f ca="1">IF(E278="","",_xll.RiskExpon($B$1))</f>
        <v/>
      </c>
      <c r="G278" t="str">
        <f ca="1">IF(F278="","",$B$5+C278*$B$4-SUM($F$2:F278))</f>
        <v/>
      </c>
    </row>
    <row r="279" spans="4:7" x14ac:dyDescent="0.25">
      <c r="D279" t="str">
        <f ca="1">IF(SUM($D$2:D278)&gt;$B$3,"",D278+_xll.RiskExpon($B$2))</f>
        <v/>
      </c>
      <c r="E279" t="str">
        <f t="shared" ca="1" si="4"/>
        <v/>
      </c>
      <c r="F279" t="str">
        <f ca="1">IF(E279="","",_xll.RiskExpon($B$1))</f>
        <v/>
      </c>
      <c r="G279" t="str">
        <f ca="1">IF(F279="","",$B$5+C279*$B$4-SUM($F$2:F279))</f>
        <v/>
      </c>
    </row>
    <row r="280" spans="4:7" x14ac:dyDescent="0.25">
      <c r="D280" t="str">
        <f ca="1">IF(SUM($D$2:D279)&gt;$B$3,"",D279+_xll.RiskExpon($B$2))</f>
        <v/>
      </c>
      <c r="E280" t="str">
        <f t="shared" ca="1" si="4"/>
        <v/>
      </c>
      <c r="F280" t="str">
        <f ca="1">IF(E280="","",_xll.RiskExpon($B$1))</f>
        <v/>
      </c>
      <c r="G280" t="str">
        <f ca="1">IF(F280="","",$B$5+C280*$B$4-SUM($F$2:F280))</f>
        <v/>
      </c>
    </row>
    <row r="281" spans="4:7" x14ac:dyDescent="0.25">
      <c r="D281" t="str">
        <f ca="1">IF(SUM($D$2:D280)&gt;$B$3,"",D280+_xll.RiskExpon($B$2))</f>
        <v/>
      </c>
      <c r="E281" t="str">
        <f t="shared" ca="1" si="4"/>
        <v/>
      </c>
      <c r="F281" t="str">
        <f ca="1">IF(E281="","",_xll.RiskExpon($B$1))</f>
        <v/>
      </c>
      <c r="G281" t="str">
        <f ca="1">IF(F281="","",$B$5+C281*$B$4-SUM($F$2:F281))</f>
        <v/>
      </c>
    </row>
    <row r="282" spans="4:7" x14ac:dyDescent="0.25">
      <c r="D282" t="str">
        <f ca="1">IF(SUM($D$2:D281)&gt;$B$3,"",D281+_xll.RiskExpon($B$2))</f>
        <v/>
      </c>
      <c r="E282" t="str">
        <f t="shared" ca="1" si="4"/>
        <v/>
      </c>
      <c r="F282" t="str">
        <f ca="1">IF(E282="","",_xll.RiskExpon($B$1))</f>
        <v/>
      </c>
      <c r="G282" t="str">
        <f ca="1">IF(F282="","",$B$5+C282*$B$4-SUM($F$2:F282))</f>
        <v/>
      </c>
    </row>
    <row r="283" spans="4:7" x14ac:dyDescent="0.25">
      <c r="D283" t="str">
        <f ca="1">IF(SUM($D$2:D282)&gt;$B$3,"",D282+_xll.RiskExpon($B$2))</f>
        <v/>
      </c>
      <c r="E283" t="str">
        <f t="shared" ca="1" si="4"/>
        <v/>
      </c>
      <c r="F283" t="str">
        <f ca="1">IF(E283="","",_xll.RiskExpon($B$1))</f>
        <v/>
      </c>
      <c r="G283" t="str">
        <f ca="1">IF(F283="","",$B$5+C283*$B$4-SUM($F$2:F283))</f>
        <v/>
      </c>
    </row>
    <row r="284" spans="4:7" x14ac:dyDescent="0.25">
      <c r="D284" t="str">
        <f ca="1">IF(SUM($D$2:D283)&gt;$B$3,"",D283+_xll.RiskExpon($B$2))</f>
        <v/>
      </c>
      <c r="E284" t="str">
        <f t="shared" ca="1" si="4"/>
        <v/>
      </c>
      <c r="F284" t="str">
        <f ca="1">IF(E284="","",_xll.RiskExpon($B$1))</f>
        <v/>
      </c>
      <c r="G284" t="str">
        <f ca="1">IF(F284="","",$B$5+C284*$B$4-SUM($F$2:F284))</f>
        <v/>
      </c>
    </row>
    <row r="285" spans="4:7" x14ac:dyDescent="0.25">
      <c r="D285" t="str">
        <f ca="1">IF(SUM($D$2:D284)&gt;$B$3,"",D284+_xll.RiskExpon($B$2))</f>
        <v/>
      </c>
      <c r="E285" t="str">
        <f t="shared" ca="1" si="4"/>
        <v/>
      </c>
      <c r="F285" t="str">
        <f ca="1">IF(E285="","",_xll.RiskExpon($B$1))</f>
        <v/>
      </c>
      <c r="G285" t="str">
        <f ca="1">IF(F285="","",$B$5+C285*$B$4-SUM($F$2:F285))</f>
        <v/>
      </c>
    </row>
    <row r="286" spans="4:7" x14ac:dyDescent="0.25">
      <c r="D286" t="str">
        <f ca="1">IF(SUM($D$2:D285)&gt;$B$3,"",D285+_xll.RiskExpon($B$2))</f>
        <v/>
      </c>
      <c r="E286" t="str">
        <f t="shared" ca="1" si="4"/>
        <v/>
      </c>
      <c r="F286" t="str">
        <f ca="1">IF(E286="","",_xll.RiskExpon($B$1))</f>
        <v/>
      </c>
      <c r="G286" t="str">
        <f ca="1">IF(F286="","",$B$5+C286*$B$4-SUM($F$2:F286))</f>
        <v/>
      </c>
    </row>
    <row r="287" spans="4:7" x14ac:dyDescent="0.25">
      <c r="D287" t="str">
        <f ca="1">IF(SUM($D$2:D286)&gt;$B$3,"",D286+_xll.RiskExpon($B$2))</f>
        <v/>
      </c>
      <c r="E287" t="str">
        <f t="shared" ca="1" si="4"/>
        <v/>
      </c>
      <c r="F287" t="str">
        <f ca="1">IF(E287="","",_xll.RiskExpon($B$1))</f>
        <v/>
      </c>
      <c r="G287" t="str">
        <f ca="1">IF(F287="","",$B$5+C287*$B$4-SUM($F$2:F287))</f>
        <v/>
      </c>
    </row>
    <row r="288" spans="4:7" x14ac:dyDescent="0.25">
      <c r="D288" t="str">
        <f ca="1">IF(SUM($D$2:D287)&gt;$B$3,"",D287+_xll.RiskExpon($B$2))</f>
        <v/>
      </c>
      <c r="E288" t="str">
        <f t="shared" ca="1" si="4"/>
        <v/>
      </c>
      <c r="F288" t="str">
        <f ca="1">IF(E288="","",_xll.RiskExpon($B$1))</f>
        <v/>
      </c>
      <c r="G288" t="str">
        <f ca="1">IF(F288="","",$B$5+C288*$B$4-SUM($F$2:F288))</f>
        <v/>
      </c>
    </row>
    <row r="289" spans="4:7" x14ac:dyDescent="0.25">
      <c r="D289" t="str">
        <f ca="1">IF(SUM($D$2:D288)&gt;$B$3,"",D288+_xll.RiskExpon($B$2))</f>
        <v/>
      </c>
      <c r="E289" t="str">
        <f t="shared" ca="1" si="4"/>
        <v/>
      </c>
      <c r="F289" t="str">
        <f ca="1">IF(E289="","",_xll.RiskExpon($B$1))</f>
        <v/>
      </c>
      <c r="G289" t="str">
        <f ca="1">IF(F289="","",$B$5+C289*$B$4-SUM($F$2:F289))</f>
        <v/>
      </c>
    </row>
    <row r="290" spans="4:7" x14ac:dyDescent="0.25">
      <c r="D290" t="str">
        <f ca="1">IF(SUM($D$2:D289)&gt;$B$3,"",D289+_xll.RiskExpon($B$2))</f>
        <v/>
      </c>
      <c r="E290" t="str">
        <f t="shared" ca="1" si="4"/>
        <v/>
      </c>
      <c r="F290" t="str">
        <f ca="1">IF(E290="","",_xll.RiskExpon($B$1))</f>
        <v/>
      </c>
      <c r="G290" t="str">
        <f ca="1">IF(F290="","",$B$5+C290*$B$4-SUM($F$2:F290))</f>
        <v/>
      </c>
    </row>
    <row r="291" spans="4:7" x14ac:dyDescent="0.25">
      <c r="D291" t="str">
        <f ca="1">IF(SUM($D$2:D290)&gt;$B$3,"",D290+_xll.RiskExpon($B$2))</f>
        <v/>
      </c>
      <c r="E291" t="str">
        <f t="shared" ca="1" si="4"/>
        <v/>
      </c>
      <c r="F291" t="str">
        <f ca="1">IF(E291="","",_xll.RiskExpon($B$1))</f>
        <v/>
      </c>
      <c r="G291" t="str">
        <f ca="1">IF(F291="","",$B$5+C291*$B$4-SUM($F$2:F291))</f>
        <v/>
      </c>
    </row>
    <row r="292" spans="4:7" x14ac:dyDescent="0.25">
      <c r="D292" t="str">
        <f ca="1">IF(SUM($D$2:D291)&gt;$B$3,"",D291+_xll.RiskExpon($B$2))</f>
        <v/>
      </c>
      <c r="E292" t="str">
        <f t="shared" ca="1" si="4"/>
        <v/>
      </c>
      <c r="F292" t="str">
        <f ca="1">IF(E292="","",_xll.RiskExpon($B$1))</f>
        <v/>
      </c>
      <c r="G292" t="str">
        <f ca="1">IF(F292="","",$B$5+C292*$B$4-SUM($F$2:F292))</f>
        <v/>
      </c>
    </row>
    <row r="293" spans="4:7" x14ac:dyDescent="0.25">
      <c r="D293" t="str">
        <f ca="1">IF(SUM($D$2:D292)&gt;$B$3,"",D292+_xll.RiskExpon($B$2))</f>
        <v/>
      </c>
      <c r="E293" t="str">
        <f t="shared" ca="1" si="4"/>
        <v/>
      </c>
      <c r="F293" t="str">
        <f ca="1">IF(E293="","",_xll.RiskExpon($B$1))</f>
        <v/>
      </c>
      <c r="G293" t="str">
        <f ca="1">IF(F293="","",$B$5+C293*$B$4-SUM($F$2:F293))</f>
        <v/>
      </c>
    </row>
    <row r="294" spans="4:7" x14ac:dyDescent="0.25">
      <c r="D294" t="str">
        <f ca="1">IF(SUM($D$2:D293)&gt;$B$3,"",D293+_xll.RiskExpon($B$2))</f>
        <v/>
      </c>
      <c r="E294" t="str">
        <f t="shared" ca="1" si="4"/>
        <v/>
      </c>
      <c r="F294" t="str">
        <f ca="1">IF(E294="","",_xll.RiskExpon($B$1))</f>
        <v/>
      </c>
      <c r="G294" t="str">
        <f ca="1">IF(F294="","",$B$5+C294*$B$4-SUM($F$2:F294))</f>
        <v/>
      </c>
    </row>
    <row r="295" spans="4:7" x14ac:dyDescent="0.25">
      <c r="D295" t="str">
        <f ca="1">IF(SUM($D$2:D294)&gt;$B$3,"",D294+_xll.RiskExpon($B$2))</f>
        <v/>
      </c>
      <c r="E295" t="str">
        <f t="shared" ca="1" si="4"/>
        <v/>
      </c>
      <c r="F295" t="str">
        <f ca="1">IF(E295="","",_xll.RiskExpon($B$1))</f>
        <v/>
      </c>
      <c r="G295" t="str">
        <f ca="1">IF(F295="","",$B$5+C295*$B$4-SUM($F$2:F295))</f>
        <v/>
      </c>
    </row>
    <row r="296" spans="4:7" x14ac:dyDescent="0.25">
      <c r="D296" t="str">
        <f ca="1">IF(SUM($D$2:D295)&gt;$B$3,"",D295+_xll.RiskExpon($B$2))</f>
        <v/>
      </c>
      <c r="E296" t="str">
        <f t="shared" ca="1" si="4"/>
        <v/>
      </c>
      <c r="F296" t="str">
        <f ca="1">IF(E296="","",_xll.RiskExpon($B$1))</f>
        <v/>
      </c>
      <c r="G296" t="str">
        <f ca="1">IF(F296="","",$B$5+C296*$B$4-SUM($F$2:F296))</f>
        <v/>
      </c>
    </row>
    <row r="297" spans="4:7" x14ac:dyDescent="0.25">
      <c r="D297" t="str">
        <f ca="1">IF(SUM($D$2:D296)&gt;$B$3,"",D296+_xll.RiskExpon($B$2))</f>
        <v/>
      </c>
      <c r="E297" t="str">
        <f t="shared" ca="1" si="4"/>
        <v/>
      </c>
      <c r="F297" t="str">
        <f ca="1">IF(E297="","",_xll.RiskExpon($B$1))</f>
        <v/>
      </c>
      <c r="G297" t="str">
        <f ca="1">IF(F297="","",$B$5+C297*$B$4-SUM($F$2:F297))</f>
        <v/>
      </c>
    </row>
    <row r="298" spans="4:7" x14ac:dyDescent="0.25">
      <c r="D298" t="str">
        <f ca="1">IF(SUM($D$2:D297)&gt;$B$3,"",D297+_xll.RiskExpon($B$2))</f>
        <v/>
      </c>
      <c r="E298" t="str">
        <f t="shared" ca="1" si="4"/>
        <v/>
      </c>
      <c r="F298" t="str">
        <f ca="1">IF(E298="","",_xll.RiskExpon($B$1))</f>
        <v/>
      </c>
      <c r="G298" t="str">
        <f ca="1">IF(F298="","",$B$5+C298*$B$4-SUM($F$2:F298))</f>
        <v/>
      </c>
    </row>
    <row r="299" spans="4:7" x14ac:dyDescent="0.25">
      <c r="D299" t="str">
        <f ca="1">IF(SUM($D$2:D298)&gt;$B$3,"",D298+_xll.RiskExpon($B$2))</f>
        <v/>
      </c>
      <c r="E299" t="str">
        <f t="shared" ca="1" si="4"/>
        <v/>
      </c>
      <c r="F299" t="str">
        <f ca="1">IF(E299="","",_xll.RiskExpon($B$1))</f>
        <v/>
      </c>
      <c r="G299" t="str">
        <f ca="1">IF(F299="","",$B$5+C299*$B$4-SUM($F$2:F299))</f>
        <v/>
      </c>
    </row>
    <row r="300" spans="4:7" x14ac:dyDescent="0.25">
      <c r="D300" t="str">
        <f ca="1">IF(SUM($D$2:D299)&gt;$B$3,"",D299+_xll.RiskExpon($B$2))</f>
        <v/>
      </c>
      <c r="E300" t="str">
        <f t="shared" ca="1" si="4"/>
        <v/>
      </c>
      <c r="F300" t="str">
        <f ca="1">IF(E300="","",_xll.RiskExpon($B$1))</f>
        <v/>
      </c>
      <c r="G300" t="str">
        <f ca="1">IF(F300="","",$B$5+C300*$B$4-SUM($F$2:F300))</f>
        <v/>
      </c>
    </row>
    <row r="301" spans="4:7" x14ac:dyDescent="0.25">
      <c r="D301" t="str">
        <f ca="1">IF(SUM($D$2:D300)&gt;$B$3,"",D300+_xll.RiskExpon($B$2))</f>
        <v/>
      </c>
      <c r="E301" t="str">
        <f t="shared" ca="1" si="4"/>
        <v/>
      </c>
      <c r="F301" t="str">
        <f ca="1">IF(E301="","",_xll.RiskExpon($B$1))</f>
        <v/>
      </c>
      <c r="G301" t="str">
        <f ca="1">IF(F301="","",$B$5+C301*$B$4-SUM($F$2:F301))</f>
        <v/>
      </c>
    </row>
    <row r="302" spans="4:7" x14ac:dyDescent="0.25">
      <c r="D302" t="str">
        <f ca="1">IF(SUM($D$2:D301)&gt;$B$3,"",D301+_xll.RiskExpon($B$2))</f>
        <v/>
      </c>
      <c r="E302" t="str">
        <f t="shared" ca="1" si="4"/>
        <v/>
      </c>
      <c r="F302" t="str">
        <f ca="1">IF(E302="","",_xll.RiskExpon($B$1))</f>
        <v/>
      </c>
      <c r="G302" t="str">
        <f ca="1">IF(F302="","",$B$5+C302*$B$4-SUM($F$2:F302))</f>
        <v/>
      </c>
    </row>
    <row r="303" spans="4:7" x14ac:dyDescent="0.25">
      <c r="D303" t="str">
        <f ca="1">IF(SUM($D$2:D302)&gt;$B$3,"",D302+_xll.RiskExpon($B$2))</f>
        <v/>
      </c>
      <c r="E303" t="str">
        <f t="shared" ca="1" si="4"/>
        <v/>
      </c>
      <c r="F303" t="str">
        <f ca="1">IF(E303="","",_xll.RiskExpon($B$1))</f>
        <v/>
      </c>
      <c r="G303" t="str">
        <f ca="1">IF(F303="","",$B$5+C303*$B$4-SUM($F$2:F303))</f>
        <v/>
      </c>
    </row>
    <row r="304" spans="4:7" x14ac:dyDescent="0.25">
      <c r="D304" t="str">
        <f ca="1">IF(SUM($D$2:D303)&gt;$B$3,"",D303+_xll.RiskExpon($B$2))</f>
        <v/>
      </c>
      <c r="E304" t="str">
        <f t="shared" ca="1" si="4"/>
        <v/>
      </c>
      <c r="F304" t="str">
        <f ca="1">IF(E304="","",_xll.RiskExpon($B$1))</f>
        <v/>
      </c>
      <c r="G304" t="str">
        <f ca="1">IF(F304="","",$B$5+C304*$B$4-SUM($F$2:F304))</f>
        <v/>
      </c>
    </row>
    <row r="305" spans="4:7" x14ac:dyDescent="0.25">
      <c r="D305" t="str">
        <f ca="1">IF(SUM($D$2:D304)&gt;$B$3,"",D304+_xll.RiskExpon($B$2))</f>
        <v/>
      </c>
      <c r="E305" t="str">
        <f t="shared" ca="1" si="4"/>
        <v/>
      </c>
      <c r="F305" t="str">
        <f ca="1">IF(E305="","",_xll.RiskExpon($B$1))</f>
        <v/>
      </c>
      <c r="G305" t="str">
        <f ca="1">IF(F305="","",$B$5+C305*$B$4-SUM($F$2:F305))</f>
        <v/>
      </c>
    </row>
    <row r="306" spans="4:7" x14ac:dyDescent="0.25">
      <c r="D306" t="str">
        <f ca="1">IF(SUM($D$2:D305)&gt;$B$3,"",D305+_xll.RiskExpon($B$2))</f>
        <v/>
      </c>
      <c r="E306" t="str">
        <f t="shared" ca="1" si="4"/>
        <v/>
      </c>
      <c r="F306" t="str">
        <f ca="1">IF(E306="","",_xll.RiskExpon($B$1))</f>
        <v/>
      </c>
      <c r="G306" t="str">
        <f ca="1">IF(F306="","",$B$5+C306*$B$4-SUM($F$2:F306))</f>
        <v/>
      </c>
    </row>
    <row r="307" spans="4:7" x14ac:dyDescent="0.25">
      <c r="D307" t="str">
        <f ca="1">IF(SUM($D$2:D306)&gt;$B$3,"",D306+_xll.RiskExpon($B$2))</f>
        <v/>
      </c>
      <c r="E307" t="str">
        <f t="shared" ca="1" si="4"/>
        <v/>
      </c>
      <c r="F307" t="str">
        <f ca="1">IF(E307="","",_xll.RiskExpon($B$1))</f>
        <v/>
      </c>
      <c r="G307" t="str">
        <f ca="1">IF(F307="","",$B$5+C307*$B$4-SUM($F$2:F307))</f>
        <v/>
      </c>
    </row>
    <row r="308" spans="4:7" x14ac:dyDescent="0.25">
      <c r="D308" t="str">
        <f ca="1">IF(SUM($D$2:D307)&gt;$B$3,"",D307+_xll.RiskExpon($B$2))</f>
        <v/>
      </c>
      <c r="E308" t="str">
        <f t="shared" ca="1" si="4"/>
        <v/>
      </c>
      <c r="F308" t="str">
        <f ca="1">IF(E308="","",_xll.RiskExpon($B$1))</f>
        <v/>
      </c>
      <c r="G308" t="str">
        <f ca="1">IF(F308="","",$B$5+C308*$B$4-SUM($F$2:F308))</f>
        <v/>
      </c>
    </row>
    <row r="309" spans="4:7" x14ac:dyDescent="0.25">
      <c r="D309" t="str">
        <f ca="1">IF(SUM($D$2:D308)&gt;$B$3,"",D308+_xll.RiskExpon($B$2))</f>
        <v/>
      </c>
      <c r="E309" t="str">
        <f t="shared" ca="1" si="4"/>
        <v/>
      </c>
      <c r="F309" t="str">
        <f ca="1">IF(E309="","",_xll.RiskExpon($B$1))</f>
        <v/>
      </c>
      <c r="G309" t="str">
        <f ca="1">IF(F309="","",$B$5+C309*$B$4-SUM($F$2:F309))</f>
        <v/>
      </c>
    </row>
    <row r="310" spans="4:7" x14ac:dyDescent="0.25">
      <c r="D310" t="str">
        <f ca="1">IF(SUM($D$2:D309)&gt;$B$3,"",D309+_xll.RiskExpon($B$2))</f>
        <v/>
      </c>
      <c r="E310" t="str">
        <f t="shared" ca="1" si="4"/>
        <v/>
      </c>
      <c r="F310" t="str">
        <f ca="1">IF(E310="","",_xll.RiskExpon($B$1))</f>
        <v/>
      </c>
      <c r="G310" t="str">
        <f ca="1">IF(F310="","",$B$5+C310*$B$4-SUM($F$2:F310))</f>
        <v/>
      </c>
    </row>
    <row r="311" spans="4:7" x14ac:dyDescent="0.25">
      <c r="D311" t="str">
        <f ca="1">IF(SUM($D$2:D310)&gt;$B$3,"",D310+_xll.RiskExpon($B$2))</f>
        <v/>
      </c>
      <c r="E311" t="str">
        <f t="shared" ca="1" si="4"/>
        <v/>
      </c>
      <c r="F311" t="str">
        <f ca="1">IF(E311="","",_xll.RiskExpon($B$1))</f>
        <v/>
      </c>
      <c r="G311" t="str">
        <f ca="1">IF(F311="","",$B$5+C311*$B$4-SUM($F$2:F311))</f>
        <v/>
      </c>
    </row>
    <row r="312" spans="4:7" x14ac:dyDescent="0.25">
      <c r="D312" t="str">
        <f ca="1">IF(SUM($D$2:D311)&gt;$B$3,"",D311+_xll.RiskExpon($B$2))</f>
        <v/>
      </c>
      <c r="E312" t="str">
        <f t="shared" ca="1" si="4"/>
        <v/>
      </c>
      <c r="F312" t="str">
        <f ca="1">IF(E312="","",_xll.RiskExpon($B$1))</f>
        <v/>
      </c>
      <c r="G312" t="str">
        <f ca="1">IF(F312="","",$B$5+C312*$B$4-SUM($F$2:F312))</f>
        <v/>
      </c>
    </row>
    <row r="313" spans="4:7" x14ac:dyDescent="0.25">
      <c r="D313" t="str">
        <f ca="1">IF(SUM($D$2:D312)&gt;$B$3,"",D312+_xll.RiskExpon($B$2))</f>
        <v/>
      </c>
      <c r="E313" t="str">
        <f t="shared" ca="1" si="4"/>
        <v/>
      </c>
      <c r="F313" t="str">
        <f ca="1">IF(E313="","",_xll.RiskExpon($B$1))</f>
        <v/>
      </c>
      <c r="G313" t="str">
        <f ca="1">IF(F313="","",$B$5+C313*$B$4-SUM($F$2:F313))</f>
        <v/>
      </c>
    </row>
    <row r="314" spans="4:7" x14ac:dyDescent="0.25">
      <c r="D314" t="str">
        <f ca="1">IF(SUM($D$2:D313)&gt;$B$3,"",D313+_xll.RiskExpon($B$2))</f>
        <v/>
      </c>
      <c r="E314" t="str">
        <f t="shared" ca="1" si="4"/>
        <v/>
      </c>
      <c r="F314" t="str">
        <f ca="1">IF(E314="","",_xll.RiskExpon($B$1))</f>
        <v/>
      </c>
      <c r="G314" t="str">
        <f ca="1">IF(F314="","",$B$5+C314*$B$4-SUM($F$2:F314))</f>
        <v/>
      </c>
    </row>
    <row r="315" spans="4:7" x14ac:dyDescent="0.25">
      <c r="D315" t="str">
        <f ca="1">IF(SUM($D$2:D314)&gt;$B$3,"",D314+_xll.RiskExpon($B$2))</f>
        <v/>
      </c>
      <c r="E315" t="str">
        <f t="shared" ca="1" si="4"/>
        <v/>
      </c>
      <c r="F315" t="str">
        <f ca="1">IF(E315="","",_xll.RiskExpon($B$1))</f>
        <v/>
      </c>
      <c r="G315" t="str">
        <f ca="1">IF(F315="","",$B$5+C315*$B$4-SUM($F$2:F315))</f>
        <v/>
      </c>
    </row>
    <row r="316" spans="4:7" x14ac:dyDescent="0.25">
      <c r="D316" t="str">
        <f ca="1">IF(SUM($D$2:D315)&gt;$B$3,"",D315+_xll.RiskExpon($B$2))</f>
        <v/>
      </c>
      <c r="E316" t="str">
        <f t="shared" ca="1" si="4"/>
        <v/>
      </c>
      <c r="F316" t="str">
        <f ca="1">IF(E316="","",_xll.RiskExpon($B$1))</f>
        <v/>
      </c>
      <c r="G316" t="str">
        <f ca="1">IF(F316="","",$B$5+C316*$B$4-SUM($F$2:F316))</f>
        <v/>
      </c>
    </row>
    <row r="317" spans="4:7" x14ac:dyDescent="0.25">
      <c r="D317" t="str">
        <f ca="1">IF(SUM($D$2:D316)&gt;$B$3,"",D316+_xll.RiskExpon($B$2))</f>
        <v/>
      </c>
      <c r="E317" t="str">
        <f t="shared" ca="1" si="4"/>
        <v/>
      </c>
      <c r="F317" t="str">
        <f ca="1">IF(E317="","",_xll.RiskExpon($B$1))</f>
        <v/>
      </c>
      <c r="G317" t="str">
        <f ca="1">IF(F317="","",$B$5+C317*$B$4-SUM($F$2:F317))</f>
        <v/>
      </c>
    </row>
    <row r="318" spans="4:7" x14ac:dyDescent="0.25">
      <c r="D318" t="str">
        <f ca="1">IF(SUM($D$2:D317)&gt;$B$3,"",D317+_xll.RiskExpon($B$2))</f>
        <v/>
      </c>
      <c r="E318" t="str">
        <f t="shared" ca="1" si="4"/>
        <v/>
      </c>
      <c r="F318" t="str">
        <f ca="1">IF(E318="","",_xll.RiskExpon($B$1))</f>
        <v/>
      </c>
      <c r="G318" t="str">
        <f ca="1">IF(F318="","",$B$5+C318*$B$4-SUM($F$2:F318))</f>
        <v/>
      </c>
    </row>
    <row r="319" spans="4:7" x14ac:dyDescent="0.25">
      <c r="D319" t="str">
        <f ca="1">IF(SUM($D$2:D318)&gt;$B$3,"",D318+_xll.RiskExpon($B$2))</f>
        <v/>
      </c>
      <c r="E319" t="str">
        <f t="shared" ca="1" si="4"/>
        <v/>
      </c>
      <c r="F319" t="str">
        <f ca="1">IF(E319="","",_xll.RiskExpon($B$1))</f>
        <v/>
      </c>
      <c r="G319" t="str">
        <f ca="1">IF(F319="","",$B$5+C319*$B$4-SUM($F$2:F319))</f>
        <v/>
      </c>
    </row>
    <row r="320" spans="4:7" x14ac:dyDescent="0.25">
      <c r="D320" t="str">
        <f ca="1">IF(SUM($D$2:D319)&gt;$B$3,"",D319+_xll.RiskExpon($B$2))</f>
        <v/>
      </c>
      <c r="E320" t="str">
        <f t="shared" ca="1" si="4"/>
        <v/>
      </c>
      <c r="F320" t="str">
        <f ca="1">IF(E320="","",_xll.RiskExpon($B$1))</f>
        <v/>
      </c>
      <c r="G320" t="str">
        <f ca="1">IF(F320="","",$B$5+C320*$B$4-SUM($F$2:F320))</f>
        <v/>
      </c>
    </row>
    <row r="321" spans="4:7" x14ac:dyDescent="0.25">
      <c r="D321" t="str">
        <f ca="1">IF(SUM($D$2:D320)&gt;$B$3,"",D320+_xll.RiskExpon($B$2))</f>
        <v/>
      </c>
      <c r="E321" t="str">
        <f t="shared" ca="1" si="4"/>
        <v/>
      </c>
      <c r="F321" t="str">
        <f ca="1">IF(E321="","",_xll.RiskExpon($B$1))</f>
        <v/>
      </c>
      <c r="G321" t="str">
        <f ca="1">IF(F321="","",$B$5+C321*$B$4-SUM($F$2:F321))</f>
        <v/>
      </c>
    </row>
    <row r="322" spans="4:7" x14ac:dyDescent="0.25">
      <c r="D322" t="str">
        <f ca="1">IF(SUM($D$2:D321)&gt;$B$3,"",D321+_xll.RiskExpon($B$2))</f>
        <v/>
      </c>
      <c r="E322" t="str">
        <f t="shared" ca="1" si="4"/>
        <v/>
      </c>
      <c r="F322" t="str">
        <f ca="1">IF(E322="","",_xll.RiskExpon($B$1))</f>
        <v/>
      </c>
      <c r="G322" t="str">
        <f ca="1">IF(F322="","",$B$5+C322*$B$4-SUM($F$2:F322))</f>
        <v/>
      </c>
    </row>
    <row r="323" spans="4:7" x14ac:dyDescent="0.25">
      <c r="D323" t="str">
        <f ca="1">IF(SUM($D$2:D322)&gt;$B$3,"",D322+_xll.RiskExpon($B$2))</f>
        <v/>
      </c>
      <c r="E323" t="str">
        <f t="shared" ref="E323:E386" ca="1" si="5">IF(E322&lt;$B$6,E322+1,"")</f>
        <v/>
      </c>
      <c r="F323" t="str">
        <f ca="1">IF(E323="","",_xll.RiskExpon($B$1))</f>
        <v/>
      </c>
      <c r="G323" t="str">
        <f ca="1">IF(F323="","",$B$5+C323*$B$4-SUM($F$2:F323))</f>
        <v/>
      </c>
    </row>
    <row r="324" spans="4:7" x14ac:dyDescent="0.25">
      <c r="D324" t="str">
        <f ca="1">IF(SUM($D$2:D323)&gt;$B$3,"",D323+_xll.RiskExpon($B$2))</f>
        <v/>
      </c>
      <c r="E324" t="str">
        <f t="shared" ca="1" si="5"/>
        <v/>
      </c>
      <c r="F324" t="str">
        <f ca="1">IF(E324="","",_xll.RiskExpon($B$1))</f>
        <v/>
      </c>
      <c r="G324" t="str">
        <f ca="1">IF(F324="","",$B$5+C324*$B$4-SUM($F$2:F324))</f>
        <v/>
      </c>
    </row>
    <row r="325" spans="4:7" x14ac:dyDescent="0.25">
      <c r="D325" t="str">
        <f ca="1">IF(SUM($D$2:D324)&gt;$B$3,"",D324+_xll.RiskExpon($B$2))</f>
        <v/>
      </c>
      <c r="E325" t="str">
        <f t="shared" ca="1" si="5"/>
        <v/>
      </c>
      <c r="F325" t="str">
        <f ca="1">IF(E325="","",_xll.RiskExpon($B$1))</f>
        <v/>
      </c>
      <c r="G325" t="str">
        <f ca="1">IF(F325="","",$B$5+C325*$B$4-SUM($F$2:F325))</f>
        <v/>
      </c>
    </row>
    <row r="326" spans="4:7" x14ac:dyDescent="0.25">
      <c r="D326" t="str">
        <f ca="1">IF(SUM($D$2:D325)&gt;$B$3,"",D325+_xll.RiskExpon($B$2))</f>
        <v/>
      </c>
      <c r="E326" t="str">
        <f t="shared" ca="1" si="5"/>
        <v/>
      </c>
      <c r="F326" t="str">
        <f ca="1">IF(E326="","",_xll.RiskExpon($B$1))</f>
        <v/>
      </c>
      <c r="G326" t="str">
        <f ca="1">IF(F326="","",$B$5+C326*$B$4-SUM($F$2:F326))</f>
        <v/>
      </c>
    </row>
    <row r="327" spans="4:7" x14ac:dyDescent="0.25">
      <c r="D327" t="str">
        <f ca="1">IF(SUM($D$2:D326)&gt;$B$3,"",D326+_xll.RiskExpon($B$2))</f>
        <v/>
      </c>
      <c r="E327" t="str">
        <f t="shared" ca="1" si="5"/>
        <v/>
      </c>
      <c r="F327" t="str">
        <f ca="1">IF(E327="","",_xll.RiskExpon($B$1))</f>
        <v/>
      </c>
      <c r="G327" t="str">
        <f ca="1">IF(F327="","",$B$5+C327*$B$4-SUM($F$2:F327))</f>
        <v/>
      </c>
    </row>
    <row r="328" spans="4:7" x14ac:dyDescent="0.25">
      <c r="D328" t="str">
        <f ca="1">IF(SUM($D$2:D327)&gt;$B$3,"",D327+_xll.RiskExpon($B$2))</f>
        <v/>
      </c>
      <c r="E328" t="str">
        <f t="shared" ca="1" si="5"/>
        <v/>
      </c>
      <c r="F328" t="str">
        <f ca="1">IF(E328="","",_xll.RiskExpon($B$1))</f>
        <v/>
      </c>
      <c r="G328" t="str">
        <f ca="1">IF(F328="","",$B$5+C328*$B$4-SUM($F$2:F328))</f>
        <v/>
      </c>
    </row>
    <row r="329" spans="4:7" x14ac:dyDescent="0.25">
      <c r="D329" t="str">
        <f ca="1">IF(SUM($D$2:D328)&gt;$B$3,"",D328+_xll.RiskExpon($B$2))</f>
        <v/>
      </c>
      <c r="E329" t="str">
        <f t="shared" ca="1" si="5"/>
        <v/>
      </c>
      <c r="F329" t="str">
        <f ca="1">IF(E329="","",_xll.RiskExpon($B$1))</f>
        <v/>
      </c>
      <c r="G329" t="str">
        <f ca="1">IF(F329="","",$B$5+C329*$B$4-SUM($F$2:F329))</f>
        <v/>
      </c>
    </row>
    <row r="330" spans="4:7" x14ac:dyDescent="0.25">
      <c r="D330" t="str">
        <f ca="1">IF(SUM($D$2:D329)&gt;$B$3,"",D329+_xll.RiskExpon($B$2))</f>
        <v/>
      </c>
      <c r="E330" t="str">
        <f t="shared" ca="1" si="5"/>
        <v/>
      </c>
      <c r="F330" t="str">
        <f ca="1">IF(E330="","",_xll.RiskExpon($B$1))</f>
        <v/>
      </c>
      <c r="G330" t="str">
        <f ca="1">IF(F330="","",$B$5+C330*$B$4-SUM($F$2:F330))</f>
        <v/>
      </c>
    </row>
    <row r="331" spans="4:7" x14ac:dyDescent="0.25">
      <c r="D331" t="str">
        <f ca="1">IF(SUM($D$2:D330)&gt;$B$3,"",D330+_xll.RiskExpon($B$2))</f>
        <v/>
      </c>
      <c r="E331" t="str">
        <f t="shared" ca="1" si="5"/>
        <v/>
      </c>
      <c r="F331" t="str">
        <f ca="1">IF(E331="","",_xll.RiskExpon($B$1))</f>
        <v/>
      </c>
      <c r="G331" t="str">
        <f ca="1">IF(F331="","",$B$5+C331*$B$4-SUM($F$2:F331))</f>
        <v/>
      </c>
    </row>
    <row r="332" spans="4:7" x14ac:dyDescent="0.25">
      <c r="D332" t="str">
        <f ca="1">IF(SUM($D$2:D331)&gt;$B$3,"",D331+_xll.RiskExpon($B$2))</f>
        <v/>
      </c>
      <c r="E332" t="str">
        <f t="shared" ca="1" si="5"/>
        <v/>
      </c>
      <c r="F332" t="str">
        <f ca="1">IF(E332="","",_xll.RiskExpon($B$1))</f>
        <v/>
      </c>
      <c r="G332" t="str">
        <f ca="1">IF(F332="","",$B$5+C332*$B$4-SUM($F$2:F332))</f>
        <v/>
      </c>
    </row>
    <row r="333" spans="4:7" x14ac:dyDescent="0.25">
      <c r="D333" t="str">
        <f ca="1">IF(SUM($D$2:D332)&gt;$B$3,"",D332+_xll.RiskExpon($B$2))</f>
        <v/>
      </c>
      <c r="E333" t="str">
        <f t="shared" ca="1" si="5"/>
        <v/>
      </c>
      <c r="F333" t="str">
        <f ca="1">IF(E333="","",_xll.RiskExpon($B$1))</f>
        <v/>
      </c>
      <c r="G333" t="str">
        <f ca="1">IF(F333="","",$B$5+C333*$B$4-SUM($F$2:F333))</f>
        <v/>
      </c>
    </row>
    <row r="334" spans="4:7" x14ac:dyDescent="0.25">
      <c r="D334" t="str">
        <f ca="1">IF(SUM($D$2:D333)&gt;$B$3,"",D333+_xll.RiskExpon($B$2))</f>
        <v/>
      </c>
      <c r="E334" t="str">
        <f t="shared" ca="1" si="5"/>
        <v/>
      </c>
      <c r="F334" t="str">
        <f ca="1">IF(E334="","",_xll.RiskExpon($B$1))</f>
        <v/>
      </c>
      <c r="G334" t="str">
        <f ca="1">IF(F334="","",$B$5+C334*$B$4-SUM($F$2:F334))</f>
        <v/>
      </c>
    </row>
    <row r="335" spans="4:7" x14ac:dyDescent="0.25">
      <c r="D335" t="str">
        <f ca="1">IF(SUM($D$2:D334)&gt;$B$3,"",D334+_xll.RiskExpon($B$2))</f>
        <v/>
      </c>
      <c r="E335" t="str">
        <f t="shared" ca="1" si="5"/>
        <v/>
      </c>
      <c r="F335" t="str">
        <f ca="1">IF(E335="","",_xll.RiskExpon($B$1))</f>
        <v/>
      </c>
      <c r="G335" t="str">
        <f ca="1">IF(F335="","",$B$5+C335*$B$4-SUM($F$2:F335))</f>
        <v/>
      </c>
    </row>
    <row r="336" spans="4:7" x14ac:dyDescent="0.25">
      <c r="D336" t="str">
        <f ca="1">IF(SUM($D$2:D335)&gt;$B$3,"",D335+_xll.RiskExpon($B$2))</f>
        <v/>
      </c>
      <c r="E336" t="str">
        <f t="shared" ca="1" si="5"/>
        <v/>
      </c>
      <c r="F336" t="str">
        <f ca="1">IF(E336="","",_xll.RiskExpon($B$1))</f>
        <v/>
      </c>
      <c r="G336" t="str">
        <f ca="1">IF(F336="","",$B$5+C336*$B$4-SUM($F$2:F336))</f>
        <v/>
      </c>
    </row>
    <row r="337" spans="4:7" x14ac:dyDescent="0.25">
      <c r="D337" t="str">
        <f ca="1">IF(SUM($D$2:D336)&gt;$B$3,"",D336+_xll.RiskExpon($B$2))</f>
        <v/>
      </c>
      <c r="E337" t="str">
        <f t="shared" ca="1" si="5"/>
        <v/>
      </c>
      <c r="F337" t="str">
        <f ca="1">IF(E337="","",_xll.RiskExpon($B$1))</f>
        <v/>
      </c>
      <c r="G337" t="str">
        <f ca="1">IF(F337="","",$B$5+C337*$B$4-SUM($F$2:F337))</f>
        <v/>
      </c>
    </row>
    <row r="338" spans="4:7" x14ac:dyDescent="0.25">
      <c r="D338" t="str">
        <f ca="1">IF(SUM($D$2:D337)&gt;$B$3,"",D337+_xll.RiskExpon($B$2))</f>
        <v/>
      </c>
      <c r="E338" t="str">
        <f t="shared" ca="1" si="5"/>
        <v/>
      </c>
      <c r="F338" t="str">
        <f ca="1">IF(E338="","",_xll.RiskExpon($B$1))</f>
        <v/>
      </c>
      <c r="G338" t="str">
        <f ca="1">IF(F338="","",$B$5+C338*$B$4-SUM($F$2:F338))</f>
        <v/>
      </c>
    </row>
    <row r="339" spans="4:7" x14ac:dyDescent="0.25">
      <c r="D339" t="str">
        <f ca="1">IF(SUM($D$2:D338)&gt;$B$3,"",D338+_xll.RiskExpon($B$2))</f>
        <v/>
      </c>
      <c r="E339" t="str">
        <f t="shared" ca="1" si="5"/>
        <v/>
      </c>
      <c r="F339" t="str">
        <f ca="1">IF(E339="","",_xll.RiskExpon($B$1))</f>
        <v/>
      </c>
      <c r="G339" t="str">
        <f ca="1">IF(F339="","",$B$5+C339*$B$4-SUM($F$2:F339))</f>
        <v/>
      </c>
    </row>
    <row r="340" spans="4:7" x14ac:dyDescent="0.25">
      <c r="D340" t="str">
        <f ca="1">IF(SUM($D$2:D339)&gt;$B$3,"",D339+_xll.RiskExpon($B$2))</f>
        <v/>
      </c>
      <c r="E340" t="str">
        <f t="shared" ca="1" si="5"/>
        <v/>
      </c>
      <c r="F340" t="str">
        <f ca="1">IF(E340="","",_xll.RiskExpon($B$1))</f>
        <v/>
      </c>
      <c r="G340" t="str">
        <f ca="1">IF(F340="","",$B$5+C340*$B$4-SUM($F$2:F340))</f>
        <v/>
      </c>
    </row>
    <row r="341" spans="4:7" x14ac:dyDescent="0.25">
      <c r="D341" t="str">
        <f ca="1">IF(SUM($D$2:D340)&gt;$B$3,"",D340+_xll.RiskExpon($B$2))</f>
        <v/>
      </c>
      <c r="E341" t="str">
        <f t="shared" ca="1" si="5"/>
        <v/>
      </c>
      <c r="F341" t="str">
        <f ca="1">IF(E341="","",_xll.RiskExpon($B$1))</f>
        <v/>
      </c>
      <c r="G341" t="str">
        <f ca="1">IF(F341="","",$B$5+C341*$B$4-SUM($F$2:F341))</f>
        <v/>
      </c>
    </row>
    <row r="342" spans="4:7" x14ac:dyDescent="0.25">
      <c r="D342" t="str">
        <f ca="1">IF(SUM($D$2:D341)&gt;$B$3,"",D341+_xll.RiskExpon($B$2))</f>
        <v/>
      </c>
      <c r="E342" t="str">
        <f t="shared" ca="1" si="5"/>
        <v/>
      </c>
      <c r="F342" t="str">
        <f ca="1">IF(E342="","",_xll.RiskExpon($B$1))</f>
        <v/>
      </c>
      <c r="G342" t="str">
        <f ca="1">IF(F342="","",$B$5+C342*$B$4-SUM($F$2:F342))</f>
        <v/>
      </c>
    </row>
    <row r="343" spans="4:7" x14ac:dyDescent="0.25">
      <c r="D343" t="str">
        <f ca="1">IF(SUM($D$2:D342)&gt;$B$3,"",D342+_xll.RiskExpon($B$2))</f>
        <v/>
      </c>
      <c r="E343" t="str">
        <f t="shared" ca="1" si="5"/>
        <v/>
      </c>
      <c r="F343" t="str">
        <f ca="1">IF(E343="","",_xll.RiskExpon($B$1))</f>
        <v/>
      </c>
      <c r="G343" t="str">
        <f ca="1">IF(F343="","",$B$5+C343*$B$4-SUM($F$2:F343))</f>
        <v/>
      </c>
    </row>
    <row r="344" spans="4:7" x14ac:dyDescent="0.25">
      <c r="D344" t="str">
        <f ca="1">IF(SUM($D$2:D343)&gt;$B$3,"",D343+_xll.RiskExpon($B$2))</f>
        <v/>
      </c>
      <c r="E344" t="str">
        <f t="shared" ca="1" si="5"/>
        <v/>
      </c>
      <c r="F344" t="str">
        <f ca="1">IF(E344="","",_xll.RiskExpon($B$1))</f>
        <v/>
      </c>
      <c r="G344" t="str">
        <f ca="1">IF(F344="","",$B$5+C344*$B$4-SUM($F$2:F344))</f>
        <v/>
      </c>
    </row>
    <row r="345" spans="4:7" x14ac:dyDescent="0.25">
      <c r="D345" t="str">
        <f ca="1">IF(SUM($D$2:D344)&gt;$B$3,"",D344+_xll.RiskExpon($B$2))</f>
        <v/>
      </c>
      <c r="E345" t="str">
        <f t="shared" ca="1" si="5"/>
        <v/>
      </c>
      <c r="F345" t="str">
        <f ca="1">IF(E345="","",_xll.RiskExpon($B$1))</f>
        <v/>
      </c>
      <c r="G345" t="str">
        <f ca="1">IF(F345="","",$B$5+C345*$B$4-SUM($F$2:F345))</f>
        <v/>
      </c>
    </row>
    <row r="346" spans="4:7" x14ac:dyDescent="0.25">
      <c r="D346" t="str">
        <f ca="1">IF(SUM($D$2:D345)&gt;$B$3,"",D345+_xll.RiskExpon($B$2))</f>
        <v/>
      </c>
      <c r="E346" t="str">
        <f t="shared" ca="1" si="5"/>
        <v/>
      </c>
      <c r="F346" t="str">
        <f ca="1">IF(E346="","",_xll.RiskExpon($B$1))</f>
        <v/>
      </c>
      <c r="G346" t="str">
        <f ca="1">IF(F346="","",$B$5+C346*$B$4-SUM($F$2:F346))</f>
        <v/>
      </c>
    </row>
    <row r="347" spans="4:7" x14ac:dyDescent="0.25">
      <c r="D347" t="str">
        <f ca="1">IF(SUM($D$2:D346)&gt;$B$3,"",D346+_xll.RiskExpon($B$2))</f>
        <v/>
      </c>
      <c r="E347" t="str">
        <f t="shared" ca="1" si="5"/>
        <v/>
      </c>
      <c r="F347" t="str">
        <f ca="1">IF(E347="","",_xll.RiskExpon($B$1))</f>
        <v/>
      </c>
      <c r="G347" t="str">
        <f ca="1">IF(F347="","",$B$5+C347*$B$4-SUM($F$2:F347))</f>
        <v/>
      </c>
    </row>
    <row r="348" spans="4:7" x14ac:dyDescent="0.25">
      <c r="D348" t="str">
        <f ca="1">IF(SUM($D$2:D347)&gt;$B$3,"",D347+_xll.RiskExpon($B$2))</f>
        <v/>
      </c>
      <c r="E348" t="str">
        <f t="shared" ca="1" si="5"/>
        <v/>
      </c>
      <c r="F348" t="str">
        <f ca="1">IF(E348="","",_xll.RiskExpon($B$1))</f>
        <v/>
      </c>
      <c r="G348" t="str">
        <f ca="1">IF(F348="","",$B$5+C348*$B$4-SUM($F$2:F348))</f>
        <v/>
      </c>
    </row>
    <row r="349" spans="4:7" x14ac:dyDescent="0.25">
      <c r="D349" t="str">
        <f ca="1">IF(SUM($D$2:D348)&gt;$B$3,"",D348+_xll.RiskExpon($B$2))</f>
        <v/>
      </c>
      <c r="E349" t="str">
        <f t="shared" ca="1" si="5"/>
        <v/>
      </c>
      <c r="F349" t="str">
        <f ca="1">IF(E349="","",_xll.RiskExpon($B$1))</f>
        <v/>
      </c>
      <c r="G349" t="str">
        <f ca="1">IF(F349="","",$B$5+C349*$B$4-SUM($F$2:F349))</f>
        <v/>
      </c>
    </row>
    <row r="350" spans="4:7" x14ac:dyDescent="0.25">
      <c r="D350" t="str">
        <f ca="1">IF(SUM($D$2:D349)&gt;$B$3,"",D349+_xll.RiskExpon($B$2))</f>
        <v/>
      </c>
      <c r="E350" t="str">
        <f t="shared" ca="1" si="5"/>
        <v/>
      </c>
      <c r="F350" t="str">
        <f ca="1">IF(E350="","",_xll.RiskExpon($B$1))</f>
        <v/>
      </c>
      <c r="G350" t="str">
        <f ca="1">IF(F350="","",$B$5+C350*$B$4-SUM($F$2:F350))</f>
        <v/>
      </c>
    </row>
    <row r="351" spans="4:7" x14ac:dyDescent="0.25">
      <c r="D351" t="str">
        <f ca="1">IF(SUM($D$2:D350)&gt;$B$3,"",D350+_xll.RiskExpon($B$2))</f>
        <v/>
      </c>
      <c r="E351" t="str">
        <f t="shared" ca="1" si="5"/>
        <v/>
      </c>
      <c r="F351" t="str">
        <f ca="1">IF(E351="","",_xll.RiskExpon($B$1))</f>
        <v/>
      </c>
      <c r="G351" t="str">
        <f ca="1">IF(F351="","",$B$5+C351*$B$4-SUM($F$2:F351))</f>
        <v/>
      </c>
    </row>
    <row r="352" spans="4:7" x14ac:dyDescent="0.25">
      <c r="D352" t="str">
        <f ca="1">IF(SUM($D$2:D351)&gt;$B$3,"",D351+_xll.RiskExpon($B$2))</f>
        <v/>
      </c>
      <c r="E352" t="str">
        <f t="shared" ca="1" si="5"/>
        <v/>
      </c>
      <c r="F352" t="str">
        <f ca="1">IF(E352="","",_xll.RiskExpon($B$1))</f>
        <v/>
      </c>
      <c r="G352" t="str">
        <f ca="1">IF(F352="","",$B$5+C352*$B$4-SUM($F$2:F352))</f>
        <v/>
      </c>
    </row>
    <row r="353" spans="4:7" x14ac:dyDescent="0.25">
      <c r="D353" t="str">
        <f ca="1">IF(SUM($D$2:D352)&gt;$B$3,"",D352+_xll.RiskExpon($B$2))</f>
        <v/>
      </c>
      <c r="E353" t="str">
        <f t="shared" ca="1" si="5"/>
        <v/>
      </c>
      <c r="F353" t="str">
        <f ca="1">IF(E353="","",_xll.RiskExpon($B$1))</f>
        <v/>
      </c>
      <c r="G353" t="str">
        <f ca="1">IF(F353="","",$B$5+C353*$B$4-SUM($F$2:F353))</f>
        <v/>
      </c>
    </row>
    <row r="354" spans="4:7" x14ac:dyDescent="0.25">
      <c r="D354" t="str">
        <f ca="1">IF(SUM($D$2:D353)&gt;$B$3,"",D353+_xll.RiskExpon($B$2))</f>
        <v/>
      </c>
      <c r="E354" t="str">
        <f t="shared" ca="1" si="5"/>
        <v/>
      </c>
      <c r="F354" t="str">
        <f ca="1">IF(E354="","",_xll.RiskExpon($B$1))</f>
        <v/>
      </c>
      <c r="G354" t="str">
        <f ca="1">IF(F354="","",$B$5+C354*$B$4-SUM($F$2:F354))</f>
        <v/>
      </c>
    </row>
    <row r="355" spans="4:7" x14ac:dyDescent="0.25">
      <c r="D355" t="str">
        <f ca="1">IF(SUM($D$2:D354)&gt;$B$3,"",D354+_xll.RiskExpon($B$2))</f>
        <v/>
      </c>
      <c r="E355" t="str">
        <f t="shared" ca="1" si="5"/>
        <v/>
      </c>
      <c r="F355" t="str">
        <f ca="1">IF(E355="","",_xll.RiskExpon($B$1))</f>
        <v/>
      </c>
      <c r="G355" t="str">
        <f ca="1">IF(F355="","",$B$5+C355*$B$4-SUM($F$2:F355))</f>
        <v/>
      </c>
    </row>
    <row r="356" spans="4:7" x14ac:dyDescent="0.25">
      <c r="D356" t="str">
        <f ca="1">IF(SUM($D$2:D355)&gt;$B$3,"",D355+_xll.RiskExpon($B$2))</f>
        <v/>
      </c>
      <c r="E356" t="str">
        <f t="shared" ca="1" si="5"/>
        <v/>
      </c>
      <c r="F356" t="str">
        <f ca="1">IF(E356="","",_xll.RiskExpon($B$1))</f>
        <v/>
      </c>
      <c r="G356" t="str">
        <f ca="1">IF(F356="","",$B$5+C356*$B$4-SUM($F$2:F356))</f>
        <v/>
      </c>
    </row>
    <row r="357" spans="4:7" x14ac:dyDescent="0.25">
      <c r="D357" t="str">
        <f ca="1">IF(SUM($D$2:D356)&gt;$B$3,"",D356+_xll.RiskExpon($B$2))</f>
        <v/>
      </c>
      <c r="E357" t="str">
        <f t="shared" ca="1" si="5"/>
        <v/>
      </c>
      <c r="F357" t="str">
        <f ca="1">IF(E357="","",_xll.RiskExpon($B$1))</f>
        <v/>
      </c>
      <c r="G357" t="str">
        <f ca="1">IF(F357="","",$B$5+C357*$B$4-SUM($F$2:F357))</f>
        <v/>
      </c>
    </row>
    <row r="358" spans="4:7" x14ac:dyDescent="0.25">
      <c r="D358" t="str">
        <f ca="1">IF(SUM($D$2:D357)&gt;$B$3,"",D357+_xll.RiskExpon($B$2))</f>
        <v/>
      </c>
      <c r="E358" t="str">
        <f t="shared" ca="1" si="5"/>
        <v/>
      </c>
      <c r="F358" t="str">
        <f ca="1">IF(E358="","",_xll.RiskExpon($B$1))</f>
        <v/>
      </c>
      <c r="G358" t="str">
        <f ca="1">IF(F358="","",$B$5+C358*$B$4-SUM($F$2:F358))</f>
        <v/>
      </c>
    </row>
    <row r="359" spans="4:7" x14ac:dyDescent="0.25">
      <c r="D359" t="str">
        <f ca="1">IF(SUM($D$2:D358)&gt;$B$3,"",D358+_xll.RiskExpon($B$2))</f>
        <v/>
      </c>
      <c r="E359" t="str">
        <f t="shared" ca="1" si="5"/>
        <v/>
      </c>
      <c r="F359" t="str">
        <f ca="1">IF(E359="","",_xll.RiskExpon($B$1))</f>
        <v/>
      </c>
      <c r="G359" t="str">
        <f ca="1">IF(F359="","",$B$5+C359*$B$4-SUM($F$2:F359))</f>
        <v/>
      </c>
    </row>
    <row r="360" spans="4:7" x14ac:dyDescent="0.25">
      <c r="D360" t="str">
        <f ca="1">IF(SUM($D$2:D359)&gt;$B$3,"",D359+_xll.RiskExpon($B$2))</f>
        <v/>
      </c>
      <c r="E360" t="str">
        <f t="shared" ca="1" si="5"/>
        <v/>
      </c>
      <c r="F360" t="str">
        <f ca="1">IF(E360="","",_xll.RiskExpon($B$1))</f>
        <v/>
      </c>
      <c r="G360" t="str">
        <f ca="1">IF(F360="","",$B$5+C360*$B$4-SUM($F$2:F360))</f>
        <v/>
      </c>
    </row>
    <row r="361" spans="4:7" x14ac:dyDescent="0.25">
      <c r="D361" t="str">
        <f ca="1">IF(SUM($D$2:D360)&gt;$B$3,"",D360+_xll.RiskExpon($B$2))</f>
        <v/>
      </c>
      <c r="E361" t="str">
        <f t="shared" ca="1" si="5"/>
        <v/>
      </c>
      <c r="F361" t="str">
        <f ca="1">IF(E361="","",_xll.RiskExpon($B$1))</f>
        <v/>
      </c>
      <c r="G361" t="str">
        <f ca="1">IF(F361="","",$B$5+C361*$B$4-SUM($F$2:F361))</f>
        <v/>
      </c>
    </row>
    <row r="362" spans="4:7" x14ac:dyDescent="0.25">
      <c r="D362" t="str">
        <f ca="1">IF(SUM($D$2:D361)&gt;$B$3,"",D361+_xll.RiskExpon($B$2))</f>
        <v/>
      </c>
      <c r="E362" t="str">
        <f t="shared" ca="1" si="5"/>
        <v/>
      </c>
      <c r="F362" t="str">
        <f ca="1">IF(E362="","",_xll.RiskExpon($B$1))</f>
        <v/>
      </c>
      <c r="G362" t="str">
        <f ca="1">IF(F362="","",$B$5+C362*$B$4-SUM($F$2:F362))</f>
        <v/>
      </c>
    </row>
    <row r="363" spans="4:7" x14ac:dyDescent="0.25">
      <c r="D363" t="str">
        <f ca="1">IF(SUM($D$2:D362)&gt;$B$3,"",D362+_xll.RiskExpon($B$2))</f>
        <v/>
      </c>
      <c r="E363" t="str">
        <f t="shared" ca="1" si="5"/>
        <v/>
      </c>
      <c r="F363" t="str">
        <f ca="1">IF(E363="","",_xll.RiskExpon($B$1))</f>
        <v/>
      </c>
      <c r="G363" t="str">
        <f ca="1">IF(F363="","",$B$5+C363*$B$4-SUM($F$2:F363))</f>
        <v/>
      </c>
    </row>
    <row r="364" spans="4:7" x14ac:dyDescent="0.25">
      <c r="D364" t="str">
        <f ca="1">IF(SUM($D$2:D363)&gt;$B$3,"",D363+_xll.RiskExpon($B$2))</f>
        <v/>
      </c>
      <c r="E364" t="str">
        <f t="shared" ca="1" si="5"/>
        <v/>
      </c>
      <c r="F364" t="str">
        <f ca="1">IF(E364="","",_xll.RiskExpon($B$1))</f>
        <v/>
      </c>
      <c r="G364" t="str">
        <f ca="1">IF(F364="","",$B$5+C364*$B$4-SUM($F$2:F364))</f>
        <v/>
      </c>
    </row>
    <row r="365" spans="4:7" x14ac:dyDescent="0.25">
      <c r="D365" t="str">
        <f ca="1">IF(SUM($D$2:D364)&gt;$B$3,"",D364+_xll.RiskExpon($B$2))</f>
        <v/>
      </c>
      <c r="E365" t="str">
        <f t="shared" ca="1" si="5"/>
        <v/>
      </c>
      <c r="F365" t="str">
        <f ca="1">IF(E365="","",_xll.RiskExpon($B$1))</f>
        <v/>
      </c>
      <c r="G365" t="str">
        <f ca="1">IF(F365="","",$B$5+C365*$B$4-SUM($F$2:F365))</f>
        <v/>
      </c>
    </row>
    <row r="366" spans="4:7" x14ac:dyDescent="0.25">
      <c r="D366" t="str">
        <f ca="1">IF(SUM($D$2:D365)&gt;$B$3,"",D365+_xll.RiskExpon($B$2))</f>
        <v/>
      </c>
      <c r="E366" t="str">
        <f t="shared" ca="1" si="5"/>
        <v/>
      </c>
      <c r="F366" t="str">
        <f ca="1">IF(E366="","",_xll.RiskExpon($B$1))</f>
        <v/>
      </c>
      <c r="G366" t="str">
        <f ca="1">IF(F366="","",$B$5+C366*$B$4-SUM($F$2:F366))</f>
        <v/>
      </c>
    </row>
    <row r="367" spans="4:7" x14ac:dyDescent="0.25">
      <c r="D367" t="str">
        <f ca="1">IF(SUM($D$2:D366)&gt;$B$3,"",D366+_xll.RiskExpon($B$2))</f>
        <v/>
      </c>
      <c r="E367" t="str">
        <f t="shared" ca="1" si="5"/>
        <v/>
      </c>
      <c r="F367" t="str">
        <f ca="1">IF(E367="","",_xll.RiskExpon($B$1))</f>
        <v/>
      </c>
      <c r="G367" t="str">
        <f ca="1">IF(F367="","",$B$5+C367*$B$4-SUM($F$2:F367))</f>
        <v/>
      </c>
    </row>
    <row r="368" spans="4:7" x14ac:dyDescent="0.25">
      <c r="D368" t="str">
        <f ca="1">IF(SUM($D$2:D367)&gt;$B$3,"",D367+_xll.RiskExpon($B$2))</f>
        <v/>
      </c>
      <c r="E368" t="str">
        <f t="shared" ca="1" si="5"/>
        <v/>
      </c>
      <c r="F368" t="str">
        <f ca="1">IF(E368="","",_xll.RiskExpon($B$1))</f>
        <v/>
      </c>
      <c r="G368" t="str">
        <f ca="1">IF(F368="","",$B$5+C368*$B$4-SUM($F$2:F368))</f>
        <v/>
      </c>
    </row>
    <row r="369" spans="4:7" x14ac:dyDescent="0.25">
      <c r="D369" t="str">
        <f ca="1">IF(SUM($D$2:D368)&gt;$B$3,"",D368+_xll.RiskExpon($B$2))</f>
        <v/>
      </c>
      <c r="E369" t="str">
        <f t="shared" ca="1" si="5"/>
        <v/>
      </c>
      <c r="F369" t="str">
        <f ca="1">IF(E369="","",_xll.RiskExpon($B$1))</f>
        <v/>
      </c>
      <c r="G369" t="str">
        <f ca="1">IF(F369="","",$B$5+C369*$B$4-SUM($F$2:F369))</f>
        <v/>
      </c>
    </row>
    <row r="370" spans="4:7" x14ac:dyDescent="0.25">
      <c r="D370" t="str">
        <f ca="1">IF(SUM($D$2:D369)&gt;$B$3,"",D369+_xll.RiskExpon($B$2))</f>
        <v/>
      </c>
      <c r="E370" t="str">
        <f t="shared" ca="1" si="5"/>
        <v/>
      </c>
      <c r="F370" t="str">
        <f ca="1">IF(E370="","",_xll.RiskExpon($B$1))</f>
        <v/>
      </c>
      <c r="G370" t="str">
        <f ca="1">IF(F370="","",$B$5+C370*$B$4-SUM($F$2:F370))</f>
        <v/>
      </c>
    </row>
    <row r="371" spans="4:7" x14ac:dyDescent="0.25">
      <c r="D371" t="str">
        <f ca="1">IF(SUM($D$2:D370)&gt;$B$3,"",D370+_xll.RiskExpon($B$2))</f>
        <v/>
      </c>
      <c r="E371" t="str">
        <f t="shared" ca="1" si="5"/>
        <v/>
      </c>
      <c r="F371" t="str">
        <f ca="1">IF(E371="","",_xll.RiskExpon($B$1))</f>
        <v/>
      </c>
      <c r="G371" t="str">
        <f ca="1">IF(F371="","",$B$5+C371*$B$4-SUM($F$2:F371))</f>
        <v/>
      </c>
    </row>
    <row r="372" spans="4:7" x14ac:dyDescent="0.25">
      <c r="D372" t="str">
        <f ca="1">IF(SUM($D$2:D371)&gt;$B$3,"",D371+_xll.RiskExpon($B$2))</f>
        <v/>
      </c>
      <c r="E372" t="str">
        <f t="shared" ca="1" si="5"/>
        <v/>
      </c>
      <c r="F372" t="str">
        <f ca="1">IF(E372="","",_xll.RiskExpon($B$1))</f>
        <v/>
      </c>
      <c r="G372" t="str">
        <f ca="1">IF(F372="","",$B$5+C372*$B$4-SUM($F$2:F372))</f>
        <v/>
      </c>
    </row>
    <row r="373" spans="4:7" x14ac:dyDescent="0.25">
      <c r="D373" t="str">
        <f ca="1">IF(SUM($D$2:D372)&gt;$B$3,"",D372+_xll.RiskExpon($B$2))</f>
        <v/>
      </c>
      <c r="E373" t="str">
        <f t="shared" ca="1" si="5"/>
        <v/>
      </c>
      <c r="F373" t="str">
        <f ca="1">IF(E373="","",_xll.RiskExpon($B$1))</f>
        <v/>
      </c>
      <c r="G373" t="str">
        <f ca="1">IF(F373="","",$B$5+C373*$B$4-SUM($F$2:F373))</f>
        <v/>
      </c>
    </row>
    <row r="374" spans="4:7" x14ac:dyDescent="0.25">
      <c r="D374" t="str">
        <f ca="1">IF(SUM($D$2:D373)&gt;$B$3,"",D373+_xll.RiskExpon($B$2))</f>
        <v/>
      </c>
      <c r="E374" t="str">
        <f t="shared" ca="1" si="5"/>
        <v/>
      </c>
      <c r="F374" t="str">
        <f ca="1">IF(E374="","",_xll.RiskExpon($B$1))</f>
        <v/>
      </c>
      <c r="G374" t="str">
        <f ca="1">IF(F374="","",$B$5+C374*$B$4-SUM($F$2:F374))</f>
        <v/>
      </c>
    </row>
    <row r="375" spans="4:7" x14ac:dyDescent="0.25">
      <c r="D375" t="str">
        <f ca="1">IF(SUM($D$2:D374)&gt;$B$3,"",D374+_xll.RiskExpon($B$2))</f>
        <v/>
      </c>
      <c r="E375" t="str">
        <f t="shared" ca="1" si="5"/>
        <v/>
      </c>
      <c r="F375" t="str">
        <f ca="1">IF(E375="","",_xll.RiskExpon($B$1))</f>
        <v/>
      </c>
      <c r="G375" t="str">
        <f ca="1">IF(F375="","",$B$5+C375*$B$4-SUM($F$2:F375))</f>
        <v/>
      </c>
    </row>
    <row r="376" spans="4:7" x14ac:dyDescent="0.25">
      <c r="D376" t="str">
        <f ca="1">IF(SUM($D$2:D375)&gt;$B$3,"",D375+_xll.RiskExpon($B$2))</f>
        <v/>
      </c>
      <c r="E376" t="str">
        <f t="shared" ca="1" si="5"/>
        <v/>
      </c>
      <c r="F376" t="str">
        <f ca="1">IF(E376="","",_xll.RiskExpon($B$1))</f>
        <v/>
      </c>
      <c r="G376" t="str">
        <f ca="1">IF(F376="","",$B$5+C376*$B$4-SUM($F$2:F376))</f>
        <v/>
      </c>
    </row>
    <row r="377" spans="4:7" x14ac:dyDescent="0.25">
      <c r="D377" t="str">
        <f ca="1">IF(SUM($D$2:D376)&gt;$B$3,"",D376+_xll.RiskExpon($B$2))</f>
        <v/>
      </c>
      <c r="E377" t="str">
        <f t="shared" ca="1" si="5"/>
        <v/>
      </c>
      <c r="F377" t="str">
        <f ca="1">IF(E377="","",_xll.RiskExpon($B$1))</f>
        <v/>
      </c>
      <c r="G377" t="str">
        <f ca="1">IF(F377="","",$B$5+C377*$B$4-SUM($F$2:F377))</f>
        <v/>
      </c>
    </row>
    <row r="378" spans="4:7" x14ac:dyDescent="0.25">
      <c r="D378" t="str">
        <f ca="1">IF(SUM($D$2:D377)&gt;$B$3,"",D377+_xll.RiskExpon($B$2))</f>
        <v/>
      </c>
      <c r="E378" t="str">
        <f t="shared" ca="1" si="5"/>
        <v/>
      </c>
      <c r="F378" t="str">
        <f ca="1">IF(E378="","",_xll.RiskExpon($B$1))</f>
        <v/>
      </c>
      <c r="G378" t="str">
        <f ca="1">IF(F378="","",$B$5+C378*$B$4-SUM($F$2:F378))</f>
        <v/>
      </c>
    </row>
    <row r="379" spans="4:7" x14ac:dyDescent="0.25">
      <c r="D379" t="str">
        <f ca="1">IF(SUM($D$2:D378)&gt;$B$3,"",D378+_xll.RiskExpon($B$2))</f>
        <v/>
      </c>
      <c r="E379" t="str">
        <f t="shared" ca="1" si="5"/>
        <v/>
      </c>
      <c r="F379" t="str">
        <f ca="1">IF(E379="","",_xll.RiskExpon($B$1))</f>
        <v/>
      </c>
      <c r="G379" t="str">
        <f ca="1">IF(F379="","",$B$5+C379*$B$4-SUM($F$2:F379))</f>
        <v/>
      </c>
    </row>
    <row r="380" spans="4:7" x14ac:dyDescent="0.25">
      <c r="D380" t="str">
        <f ca="1">IF(SUM($D$2:D379)&gt;$B$3,"",D379+_xll.RiskExpon($B$2))</f>
        <v/>
      </c>
      <c r="E380" t="str">
        <f t="shared" ca="1" si="5"/>
        <v/>
      </c>
      <c r="F380" t="str">
        <f ca="1">IF(E380="","",_xll.RiskExpon($B$1))</f>
        <v/>
      </c>
      <c r="G380" t="str">
        <f ca="1">IF(F380="","",$B$5+C380*$B$4-SUM($F$2:F380))</f>
        <v/>
      </c>
    </row>
    <row r="381" spans="4:7" x14ac:dyDescent="0.25">
      <c r="D381" t="str">
        <f ca="1">IF(SUM($D$2:D380)&gt;$B$3,"",D380+_xll.RiskExpon($B$2))</f>
        <v/>
      </c>
      <c r="E381" t="str">
        <f t="shared" ca="1" si="5"/>
        <v/>
      </c>
      <c r="F381" t="str">
        <f ca="1">IF(E381="","",_xll.RiskExpon($B$1))</f>
        <v/>
      </c>
      <c r="G381" t="str">
        <f ca="1">IF(F381="","",$B$5+C381*$B$4-SUM($F$2:F381))</f>
        <v/>
      </c>
    </row>
    <row r="382" spans="4:7" x14ac:dyDescent="0.25">
      <c r="D382" t="str">
        <f ca="1">IF(SUM($D$2:D381)&gt;$B$3,"",D381+_xll.RiskExpon($B$2))</f>
        <v/>
      </c>
      <c r="E382" t="str">
        <f t="shared" ca="1" si="5"/>
        <v/>
      </c>
      <c r="F382" t="str">
        <f ca="1">IF(E382="","",_xll.RiskExpon($B$1))</f>
        <v/>
      </c>
      <c r="G382" t="str">
        <f ca="1">IF(F382="","",$B$5+C382*$B$4-SUM($F$2:F382))</f>
        <v/>
      </c>
    </row>
    <row r="383" spans="4:7" x14ac:dyDescent="0.25">
      <c r="D383" t="str">
        <f ca="1">IF(SUM($D$2:D382)&gt;$B$3,"",D382+_xll.RiskExpon($B$2))</f>
        <v/>
      </c>
      <c r="E383" t="str">
        <f t="shared" ca="1" si="5"/>
        <v/>
      </c>
      <c r="F383" t="str">
        <f ca="1">IF(E383="","",_xll.RiskExpon($B$1))</f>
        <v/>
      </c>
      <c r="G383" t="str">
        <f ca="1">IF(F383="","",$B$5+C383*$B$4-SUM($F$2:F383))</f>
        <v/>
      </c>
    </row>
    <row r="384" spans="4:7" x14ac:dyDescent="0.25">
      <c r="D384" t="str">
        <f ca="1">IF(SUM($D$2:D383)&gt;$B$3,"",D383+_xll.RiskExpon($B$2))</f>
        <v/>
      </c>
      <c r="E384" t="str">
        <f t="shared" ca="1" si="5"/>
        <v/>
      </c>
      <c r="F384" t="str">
        <f ca="1">IF(E384="","",_xll.RiskExpon($B$1))</f>
        <v/>
      </c>
      <c r="G384" t="str">
        <f ca="1">IF(F384="","",$B$5+C384*$B$4-SUM($F$2:F384))</f>
        <v/>
      </c>
    </row>
    <row r="385" spans="4:7" x14ac:dyDescent="0.25">
      <c r="D385" t="str">
        <f ca="1">IF(SUM($D$2:D384)&gt;$B$3,"",D384+_xll.RiskExpon($B$2))</f>
        <v/>
      </c>
      <c r="E385" t="str">
        <f t="shared" ca="1" si="5"/>
        <v/>
      </c>
      <c r="F385" t="str">
        <f ca="1">IF(E385="","",_xll.RiskExpon($B$1))</f>
        <v/>
      </c>
      <c r="G385" t="str">
        <f ca="1">IF(F385="","",$B$5+C385*$B$4-SUM($F$2:F385))</f>
        <v/>
      </c>
    </row>
    <row r="386" spans="4:7" x14ac:dyDescent="0.25">
      <c r="D386" t="str">
        <f ca="1">IF(SUM($D$2:D385)&gt;$B$3,"",D385+_xll.RiskExpon($B$2))</f>
        <v/>
      </c>
      <c r="E386" t="str">
        <f t="shared" ca="1" si="5"/>
        <v/>
      </c>
      <c r="F386" t="str">
        <f ca="1">IF(E386="","",_xll.RiskExpon($B$1))</f>
        <v/>
      </c>
      <c r="G386" t="str">
        <f ca="1">IF(F386="","",$B$5+C386*$B$4-SUM($F$2:F386))</f>
        <v/>
      </c>
    </row>
    <row r="387" spans="4:7" x14ac:dyDescent="0.25">
      <c r="D387" t="str">
        <f ca="1">IF(SUM($D$2:D386)&gt;$B$3,"",D386+_xll.RiskExpon($B$2))</f>
        <v/>
      </c>
      <c r="E387" t="str">
        <f t="shared" ref="E387:E450" ca="1" si="6">IF(E386&lt;$B$6,E386+1,"")</f>
        <v/>
      </c>
      <c r="F387" t="str">
        <f ca="1">IF(E387="","",_xll.RiskExpon($B$1))</f>
        <v/>
      </c>
      <c r="G387" t="str">
        <f ca="1">IF(F387="","",$B$5+C387*$B$4-SUM($F$2:F387))</f>
        <v/>
      </c>
    </row>
    <row r="388" spans="4:7" x14ac:dyDescent="0.25">
      <c r="D388" t="str">
        <f ca="1">IF(SUM($D$2:D387)&gt;$B$3,"",D387+_xll.RiskExpon($B$2))</f>
        <v/>
      </c>
      <c r="E388" t="str">
        <f t="shared" ca="1" si="6"/>
        <v/>
      </c>
      <c r="F388" t="str">
        <f ca="1">IF(E388="","",_xll.RiskExpon($B$1))</f>
        <v/>
      </c>
      <c r="G388" t="str">
        <f ca="1">IF(F388="","",$B$5+C388*$B$4-SUM($F$2:F388))</f>
        <v/>
      </c>
    </row>
    <row r="389" spans="4:7" x14ac:dyDescent="0.25">
      <c r="D389" t="str">
        <f ca="1">IF(SUM($D$2:D388)&gt;$B$3,"",D388+_xll.RiskExpon($B$2))</f>
        <v/>
      </c>
      <c r="E389" t="str">
        <f t="shared" ca="1" si="6"/>
        <v/>
      </c>
      <c r="F389" t="str">
        <f ca="1">IF(E389="","",_xll.RiskExpon($B$1))</f>
        <v/>
      </c>
      <c r="G389" t="str">
        <f ca="1">IF(F389="","",$B$5+C389*$B$4-SUM($F$2:F389))</f>
        <v/>
      </c>
    </row>
    <row r="390" spans="4:7" x14ac:dyDescent="0.25">
      <c r="D390" t="str">
        <f ca="1">IF(SUM($D$2:D389)&gt;$B$3,"",D389+_xll.RiskExpon($B$2))</f>
        <v/>
      </c>
      <c r="E390" t="str">
        <f t="shared" ca="1" si="6"/>
        <v/>
      </c>
      <c r="F390" t="str">
        <f ca="1">IF(E390="","",_xll.RiskExpon($B$1))</f>
        <v/>
      </c>
      <c r="G390" t="str">
        <f ca="1">IF(F390="","",$B$5+C390*$B$4-SUM($F$2:F390))</f>
        <v/>
      </c>
    </row>
    <row r="391" spans="4:7" x14ac:dyDescent="0.25">
      <c r="D391" t="str">
        <f ca="1">IF(SUM($D$2:D390)&gt;$B$3,"",D390+_xll.RiskExpon($B$2))</f>
        <v/>
      </c>
      <c r="E391" t="str">
        <f t="shared" ca="1" si="6"/>
        <v/>
      </c>
      <c r="F391" t="str">
        <f ca="1">IF(E391="","",_xll.RiskExpon($B$1))</f>
        <v/>
      </c>
      <c r="G391" t="str">
        <f ca="1">IF(F391="","",$B$5+C391*$B$4-SUM($F$2:F391))</f>
        <v/>
      </c>
    </row>
    <row r="392" spans="4:7" x14ac:dyDescent="0.25">
      <c r="D392" t="str">
        <f ca="1">IF(SUM($D$2:D391)&gt;$B$3,"",D391+_xll.RiskExpon($B$2))</f>
        <v/>
      </c>
      <c r="E392" t="str">
        <f t="shared" ca="1" si="6"/>
        <v/>
      </c>
      <c r="F392" t="str">
        <f ca="1">IF(E392="","",_xll.RiskExpon($B$1))</f>
        <v/>
      </c>
      <c r="G392" t="str">
        <f ca="1">IF(F392="","",$B$5+C392*$B$4-SUM($F$2:F392))</f>
        <v/>
      </c>
    </row>
    <row r="393" spans="4:7" x14ac:dyDescent="0.25">
      <c r="D393" t="str">
        <f ca="1">IF(SUM($D$2:D392)&gt;$B$3,"",D392+_xll.RiskExpon($B$2))</f>
        <v/>
      </c>
      <c r="E393" t="str">
        <f t="shared" ca="1" si="6"/>
        <v/>
      </c>
      <c r="F393" t="str">
        <f ca="1">IF(E393="","",_xll.RiskExpon($B$1))</f>
        <v/>
      </c>
      <c r="G393" t="str">
        <f ca="1">IF(F393="","",$B$5+C393*$B$4-SUM($F$2:F393))</f>
        <v/>
      </c>
    </row>
    <row r="394" spans="4:7" x14ac:dyDescent="0.25">
      <c r="D394" t="str">
        <f ca="1">IF(SUM($D$2:D393)&gt;$B$3,"",D393+_xll.RiskExpon($B$2))</f>
        <v/>
      </c>
      <c r="E394" t="str">
        <f t="shared" ca="1" si="6"/>
        <v/>
      </c>
      <c r="F394" t="str">
        <f ca="1">IF(E394="","",_xll.RiskExpon($B$1))</f>
        <v/>
      </c>
      <c r="G394" t="str">
        <f ca="1">IF(F394="","",$B$5+C394*$B$4-SUM($F$2:F394))</f>
        <v/>
      </c>
    </row>
    <row r="395" spans="4:7" x14ac:dyDescent="0.25">
      <c r="D395" t="str">
        <f ca="1">IF(SUM($D$2:D394)&gt;$B$3,"",D394+_xll.RiskExpon($B$2))</f>
        <v/>
      </c>
      <c r="E395" t="str">
        <f t="shared" ca="1" si="6"/>
        <v/>
      </c>
      <c r="F395" t="str">
        <f ca="1">IF(E395="","",_xll.RiskExpon($B$1))</f>
        <v/>
      </c>
      <c r="G395" t="str">
        <f ca="1">IF(F395="","",$B$5+C395*$B$4-SUM($F$2:F395))</f>
        <v/>
      </c>
    </row>
    <row r="396" spans="4:7" x14ac:dyDescent="0.25">
      <c r="D396" t="str">
        <f ca="1">IF(SUM($D$2:D395)&gt;$B$3,"",D395+_xll.RiskExpon($B$2))</f>
        <v/>
      </c>
      <c r="E396" t="str">
        <f t="shared" ca="1" si="6"/>
        <v/>
      </c>
      <c r="F396" t="str">
        <f ca="1">IF(E396="","",_xll.RiskExpon($B$1))</f>
        <v/>
      </c>
      <c r="G396" t="str">
        <f ca="1">IF(F396="","",$B$5+C396*$B$4-SUM($F$2:F396))</f>
        <v/>
      </c>
    </row>
    <row r="397" spans="4:7" x14ac:dyDescent="0.25">
      <c r="D397" t="str">
        <f ca="1">IF(SUM($D$2:D396)&gt;$B$3,"",D396+_xll.RiskExpon($B$2))</f>
        <v/>
      </c>
      <c r="E397" t="str">
        <f t="shared" ca="1" si="6"/>
        <v/>
      </c>
      <c r="F397" t="str">
        <f ca="1">IF(E397="","",_xll.RiskExpon($B$1))</f>
        <v/>
      </c>
      <c r="G397" t="str">
        <f ca="1">IF(F397="","",$B$5+C397*$B$4-SUM($F$2:F397))</f>
        <v/>
      </c>
    </row>
    <row r="398" spans="4:7" x14ac:dyDescent="0.25">
      <c r="D398" t="str">
        <f ca="1">IF(SUM($D$2:D397)&gt;$B$3,"",D397+_xll.RiskExpon($B$2))</f>
        <v/>
      </c>
      <c r="E398" t="str">
        <f t="shared" ca="1" si="6"/>
        <v/>
      </c>
      <c r="F398" t="str">
        <f ca="1">IF(E398="","",_xll.RiskExpon($B$1))</f>
        <v/>
      </c>
      <c r="G398" t="str">
        <f ca="1">IF(F398="","",$B$5+C398*$B$4-SUM($F$2:F398))</f>
        <v/>
      </c>
    </row>
    <row r="399" spans="4:7" x14ac:dyDescent="0.25">
      <c r="D399" t="str">
        <f ca="1">IF(SUM($D$2:D398)&gt;$B$3,"",D398+_xll.RiskExpon($B$2))</f>
        <v/>
      </c>
      <c r="E399" t="str">
        <f t="shared" ca="1" si="6"/>
        <v/>
      </c>
      <c r="F399" t="str">
        <f ca="1">IF(E399="","",_xll.RiskExpon($B$1))</f>
        <v/>
      </c>
      <c r="G399" t="str">
        <f ca="1">IF(F399="","",$B$5+C399*$B$4-SUM($F$2:F399))</f>
        <v/>
      </c>
    </row>
    <row r="400" spans="4:7" x14ac:dyDescent="0.25">
      <c r="D400" t="str">
        <f ca="1">IF(SUM($D$2:D399)&gt;$B$3,"",D399+_xll.RiskExpon($B$2))</f>
        <v/>
      </c>
      <c r="E400" t="str">
        <f t="shared" ca="1" si="6"/>
        <v/>
      </c>
      <c r="F400" t="str">
        <f ca="1">IF(E400="","",_xll.RiskExpon($B$1))</f>
        <v/>
      </c>
      <c r="G400" t="str">
        <f ca="1">IF(F400="","",$B$5+C400*$B$4-SUM($F$2:F400))</f>
        <v/>
      </c>
    </row>
    <row r="401" spans="4:7" x14ac:dyDescent="0.25">
      <c r="D401" t="str">
        <f ca="1">IF(SUM($D$2:D400)&gt;$B$3,"",D400+_xll.RiskExpon($B$2))</f>
        <v/>
      </c>
      <c r="E401" t="str">
        <f t="shared" ca="1" si="6"/>
        <v/>
      </c>
      <c r="F401" t="str">
        <f ca="1">IF(E401="","",_xll.RiskExpon($B$1))</f>
        <v/>
      </c>
      <c r="G401" t="str">
        <f ca="1">IF(F401="","",$B$5+C401*$B$4-SUM($F$2:F401))</f>
        <v/>
      </c>
    </row>
    <row r="402" spans="4:7" x14ac:dyDescent="0.25">
      <c r="D402" t="str">
        <f ca="1">IF(SUM($D$2:D401)&gt;$B$3,"",D401+_xll.RiskExpon($B$2))</f>
        <v/>
      </c>
      <c r="E402" t="str">
        <f t="shared" ca="1" si="6"/>
        <v/>
      </c>
      <c r="F402" t="str">
        <f ca="1">IF(E402="","",_xll.RiskExpon($B$1))</f>
        <v/>
      </c>
      <c r="G402" t="str">
        <f ca="1">IF(F402="","",$B$5+C402*$B$4-SUM($F$2:F402))</f>
        <v/>
      </c>
    </row>
    <row r="403" spans="4:7" x14ac:dyDescent="0.25">
      <c r="D403" t="str">
        <f ca="1">IF(SUM($D$2:D402)&gt;$B$3,"",D402+_xll.RiskExpon($B$2))</f>
        <v/>
      </c>
      <c r="E403" t="str">
        <f t="shared" ca="1" si="6"/>
        <v/>
      </c>
      <c r="F403" t="str">
        <f ca="1">IF(E403="","",_xll.RiskExpon($B$1))</f>
        <v/>
      </c>
      <c r="G403" t="str">
        <f ca="1">IF(F403="","",$B$5+C403*$B$4-SUM($F$2:F403))</f>
        <v/>
      </c>
    </row>
    <row r="404" spans="4:7" x14ac:dyDescent="0.25">
      <c r="D404" t="str">
        <f ca="1">IF(SUM($D$2:D403)&gt;$B$3,"",D403+_xll.RiskExpon($B$2))</f>
        <v/>
      </c>
      <c r="E404" t="str">
        <f t="shared" ca="1" si="6"/>
        <v/>
      </c>
      <c r="F404" t="str">
        <f ca="1">IF(E404="","",_xll.RiskExpon($B$1))</f>
        <v/>
      </c>
      <c r="G404" t="str">
        <f ca="1">IF(F404="","",$B$5+C404*$B$4-SUM($F$2:F404))</f>
        <v/>
      </c>
    </row>
    <row r="405" spans="4:7" x14ac:dyDescent="0.25">
      <c r="D405" t="str">
        <f ca="1">IF(SUM($D$2:D404)&gt;$B$3,"",D404+_xll.RiskExpon($B$2))</f>
        <v/>
      </c>
      <c r="E405" t="str">
        <f t="shared" ca="1" si="6"/>
        <v/>
      </c>
      <c r="F405" t="str">
        <f ca="1">IF(E405="","",_xll.RiskExpon($B$1))</f>
        <v/>
      </c>
      <c r="G405" t="str">
        <f ca="1">IF(F405="","",$B$5+C405*$B$4-SUM($F$2:F405))</f>
        <v/>
      </c>
    </row>
    <row r="406" spans="4:7" x14ac:dyDescent="0.25">
      <c r="D406" t="str">
        <f ca="1">IF(SUM($D$2:D405)&gt;$B$3,"",D405+_xll.RiskExpon($B$2))</f>
        <v/>
      </c>
      <c r="E406" t="str">
        <f t="shared" ca="1" si="6"/>
        <v/>
      </c>
      <c r="F406" t="str">
        <f ca="1">IF(E406="","",_xll.RiskExpon($B$1))</f>
        <v/>
      </c>
      <c r="G406" t="str">
        <f ca="1">IF(F406="","",$B$5+C406*$B$4-SUM($F$2:F406))</f>
        <v/>
      </c>
    </row>
    <row r="407" spans="4:7" x14ac:dyDescent="0.25">
      <c r="D407" t="str">
        <f ca="1">IF(SUM($D$2:D406)&gt;$B$3,"",D406+_xll.RiskExpon($B$2))</f>
        <v/>
      </c>
      <c r="E407" t="str">
        <f t="shared" ca="1" si="6"/>
        <v/>
      </c>
      <c r="F407" t="str">
        <f ca="1">IF(E407="","",_xll.RiskExpon($B$1))</f>
        <v/>
      </c>
      <c r="G407" t="str">
        <f ca="1">IF(F407="","",$B$5+C407*$B$4-SUM($F$2:F407))</f>
        <v/>
      </c>
    </row>
    <row r="408" spans="4:7" x14ac:dyDescent="0.25">
      <c r="D408" t="str">
        <f ca="1">IF(SUM($D$2:D407)&gt;$B$3,"",D407+_xll.RiskExpon($B$2))</f>
        <v/>
      </c>
      <c r="E408" t="str">
        <f t="shared" ca="1" si="6"/>
        <v/>
      </c>
      <c r="F408" t="str">
        <f ca="1">IF(E408="","",_xll.RiskExpon($B$1))</f>
        <v/>
      </c>
      <c r="G408" t="str">
        <f ca="1">IF(F408="","",$B$5+C408*$B$4-SUM($F$2:F408))</f>
        <v/>
      </c>
    </row>
    <row r="409" spans="4:7" x14ac:dyDescent="0.25">
      <c r="D409" t="str">
        <f ca="1">IF(SUM($D$2:D408)&gt;$B$3,"",D408+_xll.RiskExpon($B$2))</f>
        <v/>
      </c>
      <c r="E409" t="str">
        <f t="shared" ca="1" si="6"/>
        <v/>
      </c>
      <c r="F409" t="str">
        <f ca="1">IF(E409="","",_xll.RiskExpon($B$1))</f>
        <v/>
      </c>
      <c r="G409" t="str">
        <f ca="1">IF(F409="","",$B$5+C409*$B$4-SUM($F$2:F409))</f>
        <v/>
      </c>
    </row>
    <row r="410" spans="4:7" x14ac:dyDescent="0.25">
      <c r="D410" t="str">
        <f ca="1">IF(SUM($D$2:D409)&gt;$B$3,"",D409+_xll.RiskExpon($B$2))</f>
        <v/>
      </c>
      <c r="E410" t="str">
        <f t="shared" ca="1" si="6"/>
        <v/>
      </c>
      <c r="F410" t="str">
        <f ca="1">IF(E410="","",_xll.RiskExpon($B$1))</f>
        <v/>
      </c>
      <c r="G410" t="str">
        <f ca="1">IF(F410="","",$B$5+C410*$B$4-SUM($F$2:F410))</f>
        <v/>
      </c>
    </row>
    <row r="411" spans="4:7" x14ac:dyDescent="0.25">
      <c r="D411" t="str">
        <f ca="1">IF(SUM($D$2:D410)&gt;$B$3,"",D410+_xll.RiskExpon($B$2))</f>
        <v/>
      </c>
      <c r="E411" t="str">
        <f t="shared" ca="1" si="6"/>
        <v/>
      </c>
      <c r="F411" t="str">
        <f ca="1">IF(E411="","",_xll.RiskExpon($B$1))</f>
        <v/>
      </c>
      <c r="G411" t="str">
        <f ca="1">IF(F411="","",$B$5+C411*$B$4-SUM($F$2:F411))</f>
        <v/>
      </c>
    </row>
    <row r="412" spans="4:7" x14ac:dyDescent="0.25">
      <c r="D412" t="str">
        <f ca="1">IF(SUM($D$2:D411)&gt;$B$3,"",D411+_xll.RiskExpon($B$2))</f>
        <v/>
      </c>
      <c r="E412" t="str">
        <f t="shared" ca="1" si="6"/>
        <v/>
      </c>
      <c r="F412" t="str">
        <f ca="1">IF(E412="","",_xll.RiskExpon($B$1))</f>
        <v/>
      </c>
      <c r="G412" t="str">
        <f ca="1">IF(F412="","",$B$5+C412*$B$4-SUM($F$2:F412))</f>
        <v/>
      </c>
    </row>
    <row r="413" spans="4:7" x14ac:dyDescent="0.25">
      <c r="D413" t="str">
        <f ca="1">IF(SUM($D$2:D412)&gt;$B$3,"",D412+_xll.RiskExpon($B$2))</f>
        <v/>
      </c>
      <c r="E413" t="str">
        <f t="shared" ca="1" si="6"/>
        <v/>
      </c>
      <c r="F413" t="str">
        <f ca="1">IF(E413="","",_xll.RiskExpon($B$1))</f>
        <v/>
      </c>
      <c r="G413" t="str">
        <f ca="1">IF(F413="","",$B$5+C413*$B$4-SUM($F$2:F413))</f>
        <v/>
      </c>
    </row>
    <row r="414" spans="4:7" x14ac:dyDescent="0.25">
      <c r="D414" t="str">
        <f ca="1">IF(SUM($D$2:D413)&gt;$B$3,"",D413+_xll.RiskExpon($B$2))</f>
        <v/>
      </c>
      <c r="E414" t="str">
        <f t="shared" ca="1" si="6"/>
        <v/>
      </c>
      <c r="F414" t="str">
        <f ca="1">IF(E414="","",_xll.RiskExpon($B$1))</f>
        <v/>
      </c>
      <c r="G414" t="str">
        <f ca="1">IF(F414="","",$B$5+C414*$B$4-SUM($F$2:F414))</f>
        <v/>
      </c>
    </row>
    <row r="415" spans="4:7" x14ac:dyDescent="0.25">
      <c r="D415" t="str">
        <f ca="1">IF(SUM($D$2:D414)&gt;$B$3,"",D414+_xll.RiskExpon($B$2))</f>
        <v/>
      </c>
      <c r="E415" t="str">
        <f t="shared" ca="1" si="6"/>
        <v/>
      </c>
      <c r="F415" t="str">
        <f ca="1">IF(E415="","",_xll.RiskExpon($B$1))</f>
        <v/>
      </c>
      <c r="G415" t="str">
        <f ca="1">IF(F415="","",$B$5+C415*$B$4-SUM($F$2:F415))</f>
        <v/>
      </c>
    </row>
    <row r="416" spans="4:7" x14ac:dyDescent="0.25">
      <c r="D416" t="str">
        <f ca="1">IF(SUM($D$2:D415)&gt;$B$3,"",D415+_xll.RiskExpon($B$2))</f>
        <v/>
      </c>
      <c r="E416" t="str">
        <f t="shared" ca="1" si="6"/>
        <v/>
      </c>
      <c r="F416" t="str">
        <f ca="1">IF(E416="","",_xll.RiskExpon($B$1))</f>
        <v/>
      </c>
      <c r="G416" t="str">
        <f ca="1">IF(F416="","",$B$5+C416*$B$4-SUM($F$2:F416))</f>
        <v/>
      </c>
    </row>
    <row r="417" spans="4:7" x14ac:dyDescent="0.25">
      <c r="D417" t="str">
        <f ca="1">IF(SUM($D$2:D416)&gt;$B$3,"",D416+_xll.RiskExpon($B$2))</f>
        <v/>
      </c>
      <c r="E417" t="str">
        <f t="shared" ca="1" si="6"/>
        <v/>
      </c>
      <c r="F417" t="str">
        <f ca="1">IF(E417="","",_xll.RiskExpon($B$1))</f>
        <v/>
      </c>
      <c r="G417" t="str">
        <f ca="1">IF(F417="","",$B$5+C417*$B$4-SUM($F$2:F417))</f>
        <v/>
      </c>
    </row>
    <row r="418" spans="4:7" x14ac:dyDescent="0.25">
      <c r="D418" t="str">
        <f ca="1">IF(SUM($D$2:D417)&gt;$B$3,"",D417+_xll.RiskExpon($B$2))</f>
        <v/>
      </c>
      <c r="E418" t="str">
        <f t="shared" ca="1" si="6"/>
        <v/>
      </c>
      <c r="F418" t="str">
        <f ca="1">IF(E418="","",_xll.RiskExpon($B$1))</f>
        <v/>
      </c>
      <c r="G418" t="str">
        <f ca="1">IF(F418="","",$B$5+C418*$B$4-SUM($F$2:F418))</f>
        <v/>
      </c>
    </row>
    <row r="419" spans="4:7" x14ac:dyDescent="0.25">
      <c r="D419" t="str">
        <f ca="1">IF(SUM($D$2:D418)&gt;$B$3,"",D418+_xll.RiskExpon($B$2))</f>
        <v/>
      </c>
      <c r="E419" t="str">
        <f t="shared" ca="1" si="6"/>
        <v/>
      </c>
      <c r="F419" t="str">
        <f ca="1">IF(E419="","",_xll.RiskExpon($B$1))</f>
        <v/>
      </c>
      <c r="G419" t="str">
        <f ca="1">IF(F419="","",$B$5+C419*$B$4-SUM($F$2:F419))</f>
        <v/>
      </c>
    </row>
    <row r="420" spans="4:7" x14ac:dyDescent="0.25">
      <c r="D420" t="str">
        <f ca="1">IF(SUM($D$2:D419)&gt;$B$3,"",D419+_xll.RiskExpon($B$2))</f>
        <v/>
      </c>
      <c r="E420" t="str">
        <f t="shared" ca="1" si="6"/>
        <v/>
      </c>
      <c r="F420" t="str">
        <f ca="1">IF(E420="","",_xll.RiskExpon($B$1))</f>
        <v/>
      </c>
      <c r="G420" t="str">
        <f ca="1">IF(F420="","",$B$5+C420*$B$4-SUM($F$2:F420))</f>
        <v/>
      </c>
    </row>
    <row r="421" spans="4:7" x14ac:dyDescent="0.25">
      <c r="D421" t="str">
        <f ca="1">IF(SUM($D$2:D420)&gt;$B$3,"",D420+_xll.RiskExpon($B$2))</f>
        <v/>
      </c>
      <c r="E421" t="str">
        <f t="shared" ca="1" si="6"/>
        <v/>
      </c>
      <c r="F421" t="str">
        <f ca="1">IF(E421="","",_xll.RiskExpon($B$1))</f>
        <v/>
      </c>
      <c r="G421" t="str">
        <f ca="1">IF(F421="","",$B$5+C421*$B$4-SUM($F$2:F421))</f>
        <v/>
      </c>
    </row>
    <row r="422" spans="4:7" x14ac:dyDescent="0.25">
      <c r="D422" t="str">
        <f ca="1">IF(SUM($D$2:D421)&gt;$B$3,"",D421+_xll.RiskExpon($B$2))</f>
        <v/>
      </c>
      <c r="E422" t="str">
        <f t="shared" ca="1" si="6"/>
        <v/>
      </c>
      <c r="F422" t="str">
        <f ca="1">IF(E422="","",_xll.RiskExpon($B$1))</f>
        <v/>
      </c>
      <c r="G422" t="str">
        <f ca="1">IF(F422="","",$B$5+C422*$B$4-SUM($F$2:F422))</f>
        <v/>
      </c>
    </row>
    <row r="423" spans="4:7" x14ac:dyDescent="0.25">
      <c r="D423" t="str">
        <f ca="1">IF(SUM($D$2:D422)&gt;$B$3,"",D422+_xll.RiskExpon($B$2))</f>
        <v/>
      </c>
      <c r="E423" t="str">
        <f t="shared" ca="1" si="6"/>
        <v/>
      </c>
      <c r="F423" t="str">
        <f ca="1">IF(E423="","",_xll.RiskExpon($B$1))</f>
        <v/>
      </c>
      <c r="G423" t="str">
        <f ca="1">IF(F423="","",$B$5+C423*$B$4-SUM($F$2:F423))</f>
        <v/>
      </c>
    </row>
    <row r="424" spans="4:7" x14ac:dyDescent="0.25">
      <c r="D424" t="str">
        <f ca="1">IF(SUM($D$2:D423)&gt;$B$3,"",D423+_xll.RiskExpon($B$2))</f>
        <v/>
      </c>
      <c r="E424" t="str">
        <f t="shared" ca="1" si="6"/>
        <v/>
      </c>
      <c r="F424" t="str">
        <f ca="1">IF(E424="","",_xll.RiskExpon($B$1))</f>
        <v/>
      </c>
      <c r="G424" t="str">
        <f ca="1">IF(F424="","",$B$5+C424*$B$4-SUM($F$2:F424))</f>
        <v/>
      </c>
    </row>
    <row r="425" spans="4:7" x14ac:dyDescent="0.25">
      <c r="D425" t="str">
        <f ca="1">IF(SUM($D$2:D424)&gt;$B$3,"",D424+_xll.RiskExpon($B$2))</f>
        <v/>
      </c>
      <c r="E425" t="str">
        <f t="shared" ca="1" si="6"/>
        <v/>
      </c>
      <c r="F425" t="str">
        <f ca="1">IF(E425="","",_xll.RiskExpon($B$1))</f>
        <v/>
      </c>
      <c r="G425" t="str">
        <f ca="1">IF(F425="","",$B$5+C425*$B$4-SUM($F$2:F425))</f>
        <v/>
      </c>
    </row>
    <row r="426" spans="4:7" x14ac:dyDescent="0.25">
      <c r="D426" t="str">
        <f ca="1">IF(SUM($D$2:D425)&gt;$B$3,"",D425+_xll.RiskExpon($B$2))</f>
        <v/>
      </c>
      <c r="E426" t="str">
        <f t="shared" ca="1" si="6"/>
        <v/>
      </c>
      <c r="F426" t="str">
        <f ca="1">IF(E426="","",_xll.RiskExpon($B$1))</f>
        <v/>
      </c>
      <c r="G426" t="str">
        <f ca="1">IF(F426="","",$B$5+C426*$B$4-SUM($F$2:F426))</f>
        <v/>
      </c>
    </row>
    <row r="427" spans="4:7" x14ac:dyDescent="0.25">
      <c r="D427" t="str">
        <f ca="1">IF(SUM($D$2:D426)&gt;$B$3,"",D426+_xll.RiskExpon($B$2))</f>
        <v/>
      </c>
      <c r="E427" t="str">
        <f t="shared" ca="1" si="6"/>
        <v/>
      </c>
      <c r="F427" t="str">
        <f ca="1">IF(E427="","",_xll.RiskExpon($B$1))</f>
        <v/>
      </c>
      <c r="G427" t="str">
        <f ca="1">IF(F427="","",$B$5+C427*$B$4-SUM($F$2:F427))</f>
        <v/>
      </c>
    </row>
    <row r="428" spans="4:7" x14ac:dyDescent="0.25">
      <c r="D428" t="str">
        <f ca="1">IF(SUM($D$2:D427)&gt;$B$3,"",D427+_xll.RiskExpon($B$2))</f>
        <v/>
      </c>
      <c r="E428" t="str">
        <f t="shared" ca="1" si="6"/>
        <v/>
      </c>
      <c r="F428" t="str">
        <f ca="1">IF(E428="","",_xll.RiskExpon($B$1))</f>
        <v/>
      </c>
      <c r="G428" t="str">
        <f ca="1">IF(F428="","",$B$5+C428*$B$4-SUM($F$2:F428))</f>
        <v/>
      </c>
    </row>
    <row r="429" spans="4:7" x14ac:dyDescent="0.25">
      <c r="D429" t="str">
        <f ca="1">IF(SUM($D$2:D428)&gt;$B$3,"",D428+_xll.RiskExpon($B$2))</f>
        <v/>
      </c>
      <c r="E429" t="str">
        <f t="shared" ca="1" si="6"/>
        <v/>
      </c>
      <c r="F429" t="str">
        <f ca="1">IF(E429="","",_xll.RiskExpon($B$1))</f>
        <v/>
      </c>
      <c r="G429" t="str">
        <f ca="1">IF(F429="","",$B$5+C429*$B$4-SUM($F$2:F429))</f>
        <v/>
      </c>
    </row>
    <row r="430" spans="4:7" x14ac:dyDescent="0.25">
      <c r="D430" t="str">
        <f ca="1">IF(SUM($D$2:D429)&gt;$B$3,"",D429+_xll.RiskExpon($B$2))</f>
        <v/>
      </c>
      <c r="E430" t="str">
        <f t="shared" ca="1" si="6"/>
        <v/>
      </c>
      <c r="F430" t="str">
        <f ca="1">IF(E430="","",_xll.RiskExpon($B$1))</f>
        <v/>
      </c>
      <c r="G430" t="str">
        <f ca="1">IF(F430="","",$B$5+C430*$B$4-SUM($F$2:F430))</f>
        <v/>
      </c>
    </row>
    <row r="431" spans="4:7" x14ac:dyDescent="0.25">
      <c r="D431" t="str">
        <f ca="1">IF(SUM($D$2:D430)&gt;$B$3,"",D430+_xll.RiskExpon($B$2))</f>
        <v/>
      </c>
      <c r="E431" t="str">
        <f t="shared" ca="1" si="6"/>
        <v/>
      </c>
      <c r="F431" t="str">
        <f ca="1">IF(E431="","",_xll.RiskExpon($B$1))</f>
        <v/>
      </c>
      <c r="G431" t="str">
        <f ca="1">IF(F431="","",$B$5+C431*$B$4-SUM($F$2:F431))</f>
        <v/>
      </c>
    </row>
    <row r="432" spans="4:7" x14ac:dyDescent="0.25">
      <c r="D432" t="str">
        <f ca="1">IF(SUM($D$2:D431)&gt;$B$3,"",D431+_xll.RiskExpon($B$2))</f>
        <v/>
      </c>
      <c r="E432" t="str">
        <f t="shared" ca="1" si="6"/>
        <v/>
      </c>
      <c r="F432" t="str">
        <f ca="1">IF(E432="","",_xll.RiskExpon($B$1))</f>
        <v/>
      </c>
      <c r="G432" t="str">
        <f ca="1">IF(F432="","",$B$5+C432*$B$4-SUM($F$2:F432))</f>
        <v/>
      </c>
    </row>
    <row r="433" spans="4:7" x14ac:dyDescent="0.25">
      <c r="D433" t="str">
        <f ca="1">IF(SUM($D$2:D432)&gt;$B$3,"",D432+_xll.RiskExpon($B$2))</f>
        <v/>
      </c>
      <c r="E433" t="str">
        <f t="shared" ca="1" si="6"/>
        <v/>
      </c>
      <c r="F433" t="str">
        <f ca="1">IF(E433="","",_xll.RiskExpon($B$1))</f>
        <v/>
      </c>
      <c r="G433" t="str">
        <f ca="1">IF(F433="","",$B$5+C433*$B$4-SUM($F$2:F433))</f>
        <v/>
      </c>
    </row>
    <row r="434" spans="4:7" x14ac:dyDescent="0.25">
      <c r="D434" t="str">
        <f ca="1">IF(SUM($D$2:D433)&gt;$B$3,"",D433+_xll.RiskExpon($B$2))</f>
        <v/>
      </c>
      <c r="E434" t="str">
        <f t="shared" ca="1" si="6"/>
        <v/>
      </c>
      <c r="F434" t="str">
        <f ca="1">IF(E434="","",_xll.RiskExpon($B$1))</f>
        <v/>
      </c>
      <c r="G434" t="str">
        <f ca="1">IF(F434="","",$B$5+C434*$B$4-SUM($F$2:F434))</f>
        <v/>
      </c>
    </row>
    <row r="435" spans="4:7" x14ac:dyDescent="0.25">
      <c r="D435" t="str">
        <f ca="1">IF(SUM($D$2:D434)&gt;$B$3,"",D434+_xll.RiskExpon($B$2))</f>
        <v/>
      </c>
      <c r="E435" t="str">
        <f t="shared" ca="1" si="6"/>
        <v/>
      </c>
      <c r="F435" t="str">
        <f ca="1">IF(E435="","",_xll.RiskExpon($B$1))</f>
        <v/>
      </c>
      <c r="G435" t="str">
        <f ca="1">IF(F435="","",$B$5+C435*$B$4-SUM($F$2:F435))</f>
        <v/>
      </c>
    </row>
    <row r="436" spans="4:7" x14ac:dyDescent="0.25">
      <c r="D436" t="str">
        <f ca="1">IF(SUM($D$2:D435)&gt;$B$3,"",D435+_xll.RiskExpon($B$2))</f>
        <v/>
      </c>
      <c r="E436" t="str">
        <f t="shared" ca="1" si="6"/>
        <v/>
      </c>
      <c r="F436" t="str">
        <f ca="1">IF(E436="","",_xll.RiskExpon($B$1))</f>
        <v/>
      </c>
      <c r="G436" t="str">
        <f ca="1">IF(F436="","",$B$5+C436*$B$4-SUM($F$2:F436))</f>
        <v/>
      </c>
    </row>
    <row r="437" spans="4:7" x14ac:dyDescent="0.25">
      <c r="D437" t="str">
        <f ca="1">IF(SUM($D$2:D436)&gt;$B$3,"",D436+_xll.RiskExpon($B$2))</f>
        <v/>
      </c>
      <c r="E437" t="str">
        <f t="shared" ca="1" si="6"/>
        <v/>
      </c>
      <c r="F437" t="str">
        <f ca="1">IF(E437="","",_xll.RiskExpon($B$1))</f>
        <v/>
      </c>
      <c r="G437" t="str">
        <f ca="1">IF(F437="","",$B$5+C437*$B$4-SUM($F$2:F437))</f>
        <v/>
      </c>
    </row>
    <row r="438" spans="4:7" x14ac:dyDescent="0.25">
      <c r="D438" t="str">
        <f ca="1">IF(SUM($D$2:D437)&gt;$B$3,"",D437+_xll.RiskExpon($B$2))</f>
        <v/>
      </c>
      <c r="E438" t="str">
        <f t="shared" ca="1" si="6"/>
        <v/>
      </c>
      <c r="F438" t="str">
        <f ca="1">IF(E438="","",_xll.RiskExpon($B$1))</f>
        <v/>
      </c>
      <c r="G438" t="str">
        <f ca="1">IF(F438="","",$B$5+C438*$B$4-SUM($F$2:F438))</f>
        <v/>
      </c>
    </row>
    <row r="439" spans="4:7" x14ac:dyDescent="0.25">
      <c r="D439" t="str">
        <f ca="1">IF(SUM($D$2:D438)&gt;$B$3,"",D438+_xll.RiskExpon($B$2))</f>
        <v/>
      </c>
      <c r="E439" t="str">
        <f t="shared" ca="1" si="6"/>
        <v/>
      </c>
      <c r="F439" t="str">
        <f ca="1">IF(E439="","",_xll.RiskExpon($B$1))</f>
        <v/>
      </c>
      <c r="G439" t="str">
        <f ca="1">IF(F439="","",$B$5+C439*$B$4-SUM($F$2:F439))</f>
        <v/>
      </c>
    </row>
    <row r="440" spans="4:7" x14ac:dyDescent="0.25">
      <c r="D440" t="str">
        <f ca="1">IF(SUM($D$2:D439)&gt;$B$3,"",D439+_xll.RiskExpon($B$2))</f>
        <v/>
      </c>
      <c r="E440" t="str">
        <f t="shared" ca="1" si="6"/>
        <v/>
      </c>
      <c r="F440" t="str">
        <f ca="1">IF(E440="","",_xll.RiskExpon($B$1))</f>
        <v/>
      </c>
      <c r="G440" t="str">
        <f ca="1">IF(F440="","",$B$5+C440*$B$4-SUM($F$2:F440))</f>
        <v/>
      </c>
    </row>
    <row r="441" spans="4:7" x14ac:dyDescent="0.25">
      <c r="D441" t="str">
        <f ca="1">IF(SUM($D$2:D440)&gt;$B$3,"",D440+_xll.RiskExpon($B$2))</f>
        <v/>
      </c>
      <c r="E441" t="str">
        <f t="shared" ca="1" si="6"/>
        <v/>
      </c>
      <c r="F441" t="str">
        <f ca="1">IF(E441="","",_xll.RiskExpon($B$1))</f>
        <v/>
      </c>
      <c r="G441" t="str">
        <f ca="1">IF(F441="","",$B$5+C441*$B$4-SUM($F$2:F441))</f>
        <v/>
      </c>
    </row>
    <row r="442" spans="4:7" x14ac:dyDescent="0.25">
      <c r="D442" t="str">
        <f ca="1">IF(SUM($D$2:D441)&gt;$B$3,"",D441+_xll.RiskExpon($B$2))</f>
        <v/>
      </c>
      <c r="E442" t="str">
        <f t="shared" ca="1" si="6"/>
        <v/>
      </c>
      <c r="F442" t="str">
        <f ca="1">IF(E442="","",_xll.RiskExpon($B$1))</f>
        <v/>
      </c>
      <c r="G442" t="str">
        <f ca="1">IF(F442="","",$B$5+C442*$B$4-SUM($F$2:F442))</f>
        <v/>
      </c>
    </row>
    <row r="443" spans="4:7" x14ac:dyDescent="0.25">
      <c r="D443" t="str">
        <f ca="1">IF(SUM($D$2:D442)&gt;$B$3,"",D442+_xll.RiskExpon($B$2))</f>
        <v/>
      </c>
      <c r="E443" t="str">
        <f t="shared" ca="1" si="6"/>
        <v/>
      </c>
      <c r="F443" t="str">
        <f ca="1">IF(E443="","",_xll.RiskExpon($B$1))</f>
        <v/>
      </c>
      <c r="G443" t="str">
        <f ca="1">IF(F443="","",$B$5+C443*$B$4-SUM($F$2:F443))</f>
        <v/>
      </c>
    </row>
    <row r="444" spans="4:7" x14ac:dyDescent="0.25">
      <c r="D444" t="str">
        <f ca="1">IF(SUM($D$2:D443)&gt;$B$3,"",D443+_xll.RiskExpon($B$2))</f>
        <v/>
      </c>
      <c r="E444" t="str">
        <f t="shared" ca="1" si="6"/>
        <v/>
      </c>
      <c r="F444" t="str">
        <f ca="1">IF(E444="","",_xll.RiskExpon($B$1))</f>
        <v/>
      </c>
      <c r="G444" t="str">
        <f ca="1">IF(F444="","",$B$5+C444*$B$4-SUM($F$2:F444))</f>
        <v/>
      </c>
    </row>
    <row r="445" spans="4:7" x14ac:dyDescent="0.25">
      <c r="D445" t="str">
        <f ca="1">IF(SUM($D$2:D444)&gt;$B$3,"",D444+_xll.RiskExpon($B$2))</f>
        <v/>
      </c>
      <c r="E445" t="str">
        <f t="shared" ca="1" si="6"/>
        <v/>
      </c>
      <c r="F445" t="str">
        <f ca="1">IF(E445="","",_xll.RiskExpon($B$1))</f>
        <v/>
      </c>
      <c r="G445" t="str">
        <f ca="1">IF(F445="","",$B$5+C445*$B$4-SUM($F$2:F445))</f>
        <v/>
      </c>
    </row>
    <row r="446" spans="4:7" x14ac:dyDescent="0.25">
      <c r="D446" t="str">
        <f ca="1">IF(SUM($D$2:D445)&gt;$B$3,"",D445+_xll.RiskExpon($B$2))</f>
        <v/>
      </c>
      <c r="E446" t="str">
        <f t="shared" ca="1" si="6"/>
        <v/>
      </c>
      <c r="F446" t="str">
        <f ca="1">IF(E446="","",_xll.RiskExpon($B$1))</f>
        <v/>
      </c>
      <c r="G446" t="str">
        <f ca="1">IF(F446="","",$B$5+C446*$B$4-SUM($F$2:F446))</f>
        <v/>
      </c>
    </row>
    <row r="447" spans="4:7" x14ac:dyDescent="0.25">
      <c r="D447" t="str">
        <f ca="1">IF(SUM($D$2:D446)&gt;$B$3,"",D446+_xll.RiskExpon($B$2))</f>
        <v/>
      </c>
      <c r="E447" t="str">
        <f t="shared" ca="1" si="6"/>
        <v/>
      </c>
      <c r="F447" t="str">
        <f ca="1">IF(E447="","",_xll.RiskExpon($B$1))</f>
        <v/>
      </c>
      <c r="G447" t="str">
        <f ca="1">IF(F447="","",$B$5+C447*$B$4-SUM($F$2:F447))</f>
        <v/>
      </c>
    </row>
    <row r="448" spans="4:7" x14ac:dyDescent="0.25">
      <c r="D448" t="str">
        <f ca="1">IF(SUM($D$2:D447)&gt;$B$3,"",D447+_xll.RiskExpon($B$2))</f>
        <v/>
      </c>
      <c r="E448" t="str">
        <f t="shared" ca="1" si="6"/>
        <v/>
      </c>
      <c r="F448" t="str">
        <f ca="1">IF(E448="","",_xll.RiskExpon($B$1))</f>
        <v/>
      </c>
      <c r="G448" t="str">
        <f ca="1">IF(F448="","",$B$5+C448*$B$4-SUM($F$2:F448))</f>
        <v/>
      </c>
    </row>
    <row r="449" spans="4:7" x14ac:dyDescent="0.25">
      <c r="D449" t="str">
        <f ca="1">IF(SUM($D$2:D448)&gt;$B$3,"",D448+_xll.RiskExpon($B$2))</f>
        <v/>
      </c>
      <c r="E449" t="str">
        <f t="shared" ca="1" si="6"/>
        <v/>
      </c>
      <c r="F449" t="str">
        <f ca="1">IF(E449="","",_xll.RiskExpon($B$1))</f>
        <v/>
      </c>
      <c r="G449" t="str">
        <f ca="1">IF(F449="","",$B$5+C449*$B$4-SUM($F$2:F449))</f>
        <v/>
      </c>
    </row>
    <row r="450" spans="4:7" x14ac:dyDescent="0.25">
      <c r="D450" t="str">
        <f ca="1">IF(SUM($D$2:D449)&gt;$B$3,"",D449+_xll.RiskExpon($B$2))</f>
        <v/>
      </c>
      <c r="E450" t="str">
        <f t="shared" ca="1" si="6"/>
        <v/>
      </c>
      <c r="F450" t="str">
        <f ca="1">IF(E450="","",_xll.RiskExpon($B$1))</f>
        <v/>
      </c>
      <c r="G450" t="str">
        <f ca="1">IF(F450="","",$B$5+C450*$B$4-SUM($F$2:F450))</f>
        <v/>
      </c>
    </row>
    <row r="451" spans="4:7" x14ac:dyDescent="0.25">
      <c r="D451" t="str">
        <f ca="1">IF(SUM($D$2:D450)&gt;$B$3,"",D450+_xll.RiskExpon($B$2))</f>
        <v/>
      </c>
      <c r="E451" t="str">
        <f t="shared" ref="E451:E499" ca="1" si="7">IF(E450&lt;$B$6,E450+1,"")</f>
        <v/>
      </c>
      <c r="F451" t="str">
        <f ca="1">IF(E451="","",_xll.RiskExpon($B$1))</f>
        <v/>
      </c>
      <c r="G451" t="str">
        <f ca="1">IF(F451="","",$B$5+C451*$B$4-SUM($F$2:F451))</f>
        <v/>
      </c>
    </row>
    <row r="452" spans="4:7" x14ac:dyDescent="0.25">
      <c r="D452" t="str">
        <f ca="1">IF(SUM($D$2:D451)&gt;$B$3,"",D451+_xll.RiskExpon($B$2))</f>
        <v/>
      </c>
      <c r="E452" t="str">
        <f t="shared" ca="1" si="7"/>
        <v/>
      </c>
      <c r="F452" t="str">
        <f ca="1">IF(E452="","",_xll.RiskExpon($B$1))</f>
        <v/>
      </c>
      <c r="G452" t="str">
        <f ca="1">IF(F452="","",$B$5+C452*$B$4-SUM($F$2:F452))</f>
        <v/>
      </c>
    </row>
    <row r="453" spans="4:7" x14ac:dyDescent="0.25">
      <c r="D453" t="str">
        <f ca="1">IF(SUM($D$2:D452)&gt;$B$3,"",D452+_xll.RiskExpon($B$2))</f>
        <v/>
      </c>
      <c r="E453" t="str">
        <f t="shared" ca="1" si="7"/>
        <v/>
      </c>
      <c r="F453" t="str">
        <f ca="1">IF(E453="","",_xll.RiskExpon($B$1))</f>
        <v/>
      </c>
      <c r="G453" t="str">
        <f ca="1">IF(F453="","",$B$5+C453*$B$4-SUM($F$2:F453))</f>
        <v/>
      </c>
    </row>
    <row r="454" spans="4:7" x14ac:dyDescent="0.25">
      <c r="D454" t="str">
        <f ca="1">IF(SUM($D$2:D453)&gt;$B$3,"",D453+_xll.RiskExpon($B$2))</f>
        <v/>
      </c>
      <c r="E454" t="str">
        <f t="shared" ca="1" si="7"/>
        <v/>
      </c>
      <c r="F454" t="str">
        <f ca="1">IF(E454="","",_xll.RiskExpon($B$1))</f>
        <v/>
      </c>
      <c r="G454" t="str">
        <f ca="1">IF(F454="","",$B$5+C454*$B$4-SUM($F$2:F454))</f>
        <v/>
      </c>
    </row>
    <row r="455" spans="4:7" x14ac:dyDescent="0.25">
      <c r="D455" t="str">
        <f ca="1">IF(SUM($D$2:D454)&gt;$B$3,"",D454+_xll.RiskExpon($B$2))</f>
        <v/>
      </c>
      <c r="E455" t="str">
        <f t="shared" ca="1" si="7"/>
        <v/>
      </c>
      <c r="F455" t="str">
        <f ca="1">IF(E455="","",_xll.RiskExpon($B$1))</f>
        <v/>
      </c>
      <c r="G455" t="str">
        <f ca="1">IF(F455="","",$B$5+C455*$B$4-SUM($F$2:F455))</f>
        <v/>
      </c>
    </row>
    <row r="456" spans="4:7" x14ac:dyDescent="0.25">
      <c r="D456" t="str">
        <f ca="1">IF(SUM($D$2:D455)&gt;$B$3,"",D455+_xll.RiskExpon($B$2))</f>
        <v/>
      </c>
      <c r="E456" t="str">
        <f t="shared" ca="1" si="7"/>
        <v/>
      </c>
      <c r="F456" t="str">
        <f ca="1">IF(E456="","",_xll.RiskExpon($B$1))</f>
        <v/>
      </c>
      <c r="G456" t="str">
        <f ca="1">IF(F456="","",$B$5+C456*$B$4-SUM($F$2:F456))</f>
        <v/>
      </c>
    </row>
    <row r="457" spans="4:7" x14ac:dyDescent="0.25">
      <c r="D457" t="str">
        <f ca="1">IF(SUM($D$2:D456)&gt;$B$3,"",D456+_xll.RiskExpon($B$2))</f>
        <v/>
      </c>
      <c r="E457" t="str">
        <f t="shared" ca="1" si="7"/>
        <v/>
      </c>
      <c r="F457" t="str">
        <f ca="1">IF(E457="","",_xll.RiskExpon($B$1))</f>
        <v/>
      </c>
      <c r="G457" t="str">
        <f ca="1">IF(F457="","",$B$5+C457*$B$4-SUM($F$2:F457))</f>
        <v/>
      </c>
    </row>
    <row r="458" spans="4:7" x14ac:dyDescent="0.25">
      <c r="D458" t="str">
        <f ca="1">IF(SUM($D$2:D457)&gt;$B$3,"",D457+_xll.RiskExpon($B$2))</f>
        <v/>
      </c>
      <c r="E458" t="str">
        <f t="shared" ca="1" si="7"/>
        <v/>
      </c>
      <c r="F458" t="str">
        <f ca="1">IF(E458="","",_xll.RiskExpon($B$1))</f>
        <v/>
      </c>
      <c r="G458" t="str">
        <f ca="1">IF(F458="","",$B$5+C458*$B$4-SUM($F$2:F458))</f>
        <v/>
      </c>
    </row>
    <row r="459" spans="4:7" x14ac:dyDescent="0.25">
      <c r="D459" t="str">
        <f ca="1">IF(SUM($D$2:D458)&gt;$B$3,"",D458+_xll.RiskExpon($B$2))</f>
        <v/>
      </c>
      <c r="E459" t="str">
        <f t="shared" ca="1" si="7"/>
        <v/>
      </c>
      <c r="F459" t="str">
        <f ca="1">IF(E459="","",_xll.RiskExpon($B$1))</f>
        <v/>
      </c>
      <c r="G459" t="str">
        <f ca="1">IF(F459="","",$B$5+C459*$B$4-SUM($F$2:F459))</f>
        <v/>
      </c>
    </row>
    <row r="460" spans="4:7" x14ac:dyDescent="0.25">
      <c r="D460" t="str">
        <f ca="1">IF(SUM($D$2:D459)&gt;$B$3,"",D459+_xll.RiskExpon($B$2))</f>
        <v/>
      </c>
      <c r="E460" t="str">
        <f t="shared" ca="1" si="7"/>
        <v/>
      </c>
      <c r="F460" t="str">
        <f ca="1">IF(E460="","",_xll.RiskExpon($B$1))</f>
        <v/>
      </c>
      <c r="G460" t="str">
        <f ca="1">IF(F460="","",$B$5+C460*$B$4-SUM($F$2:F460))</f>
        <v/>
      </c>
    </row>
    <row r="461" spans="4:7" x14ac:dyDescent="0.25">
      <c r="D461" t="str">
        <f ca="1">IF(SUM($D$2:D460)&gt;$B$3,"",D460+_xll.RiskExpon($B$2))</f>
        <v/>
      </c>
      <c r="E461" t="str">
        <f t="shared" ca="1" si="7"/>
        <v/>
      </c>
      <c r="F461" t="str">
        <f ca="1">IF(E461="","",_xll.RiskExpon($B$1))</f>
        <v/>
      </c>
      <c r="G461" t="str">
        <f ca="1">IF(F461="","",$B$5+C461*$B$4-SUM($F$2:F461))</f>
        <v/>
      </c>
    </row>
    <row r="462" spans="4:7" x14ac:dyDescent="0.25">
      <c r="D462" t="str">
        <f ca="1">IF(SUM($D$2:D461)&gt;$B$3,"",D461+_xll.RiskExpon($B$2))</f>
        <v/>
      </c>
      <c r="E462" t="str">
        <f t="shared" ca="1" si="7"/>
        <v/>
      </c>
      <c r="F462" t="str">
        <f ca="1">IF(E462="","",_xll.RiskExpon($B$1))</f>
        <v/>
      </c>
      <c r="G462" t="str">
        <f ca="1">IF(F462="","",$B$5+C462*$B$4-SUM($F$2:F462))</f>
        <v/>
      </c>
    </row>
    <row r="463" spans="4:7" x14ac:dyDescent="0.25">
      <c r="D463" t="str">
        <f ca="1">IF(SUM($D$2:D462)&gt;$B$3,"",D462+_xll.RiskExpon($B$2))</f>
        <v/>
      </c>
      <c r="E463" t="str">
        <f t="shared" ca="1" si="7"/>
        <v/>
      </c>
      <c r="F463" t="str">
        <f ca="1">IF(E463="","",_xll.RiskExpon($B$1))</f>
        <v/>
      </c>
      <c r="G463" t="str">
        <f ca="1">IF(F463="","",$B$5+C463*$B$4-SUM($F$2:F463))</f>
        <v/>
      </c>
    </row>
    <row r="464" spans="4:7" x14ac:dyDescent="0.25">
      <c r="D464" t="str">
        <f ca="1">IF(SUM($D$2:D463)&gt;$B$3,"",D463+_xll.RiskExpon($B$2))</f>
        <v/>
      </c>
      <c r="E464" t="str">
        <f t="shared" ca="1" si="7"/>
        <v/>
      </c>
      <c r="F464" t="str">
        <f ca="1">IF(E464="","",_xll.RiskExpon($B$1))</f>
        <v/>
      </c>
      <c r="G464" t="str">
        <f ca="1">IF(F464="","",$B$5+C464*$B$4-SUM($F$2:F464))</f>
        <v/>
      </c>
    </row>
    <row r="465" spans="4:7" x14ac:dyDescent="0.25">
      <c r="D465" t="str">
        <f ca="1">IF(SUM($D$2:D464)&gt;$B$3,"",D464+_xll.RiskExpon($B$2))</f>
        <v/>
      </c>
      <c r="E465" t="str">
        <f t="shared" ca="1" si="7"/>
        <v/>
      </c>
      <c r="F465" t="str">
        <f ca="1">IF(E465="","",_xll.RiskExpon($B$1))</f>
        <v/>
      </c>
      <c r="G465" t="str">
        <f ca="1">IF(F465="","",$B$5+C465*$B$4-SUM($F$2:F465))</f>
        <v/>
      </c>
    </row>
    <row r="466" spans="4:7" x14ac:dyDescent="0.25">
      <c r="D466" t="str">
        <f ca="1">IF(SUM($D$2:D465)&gt;$B$3,"",D465+_xll.RiskExpon($B$2))</f>
        <v/>
      </c>
      <c r="E466" t="str">
        <f t="shared" ca="1" si="7"/>
        <v/>
      </c>
      <c r="F466" t="str">
        <f ca="1">IF(E466="","",_xll.RiskExpon($B$1))</f>
        <v/>
      </c>
      <c r="G466" t="str">
        <f ca="1">IF(F466="","",$B$5+C466*$B$4-SUM($F$2:F466))</f>
        <v/>
      </c>
    </row>
    <row r="467" spans="4:7" x14ac:dyDescent="0.25">
      <c r="D467" t="str">
        <f ca="1">IF(SUM($D$2:D466)&gt;$B$3,"",D466+_xll.RiskExpon($B$2))</f>
        <v/>
      </c>
      <c r="E467" t="str">
        <f t="shared" ca="1" si="7"/>
        <v/>
      </c>
      <c r="F467" t="str">
        <f ca="1">IF(E467="","",_xll.RiskExpon($B$1))</f>
        <v/>
      </c>
      <c r="G467" t="str">
        <f ca="1">IF(F467="","",$B$5+C467*$B$4-SUM($F$2:F467))</f>
        <v/>
      </c>
    </row>
    <row r="468" spans="4:7" x14ac:dyDescent="0.25">
      <c r="D468" t="str">
        <f ca="1">IF(SUM($D$2:D467)&gt;$B$3,"",D467+_xll.RiskExpon($B$2))</f>
        <v/>
      </c>
      <c r="E468" t="str">
        <f t="shared" ca="1" si="7"/>
        <v/>
      </c>
      <c r="F468" t="str">
        <f ca="1">IF(E468="","",_xll.RiskExpon($B$1))</f>
        <v/>
      </c>
      <c r="G468" t="str">
        <f ca="1">IF(F468="","",$B$5+C468*$B$4-SUM($F$2:F468))</f>
        <v/>
      </c>
    </row>
    <row r="469" spans="4:7" x14ac:dyDescent="0.25">
      <c r="D469" t="str">
        <f ca="1">IF(SUM($D$2:D468)&gt;$B$3,"",D468+_xll.RiskExpon($B$2))</f>
        <v/>
      </c>
      <c r="E469" t="str">
        <f t="shared" ca="1" si="7"/>
        <v/>
      </c>
      <c r="F469" t="str">
        <f ca="1">IF(E469="","",_xll.RiskExpon($B$1))</f>
        <v/>
      </c>
      <c r="G469" t="str">
        <f ca="1">IF(F469="","",$B$5+C469*$B$4-SUM($F$2:F469))</f>
        <v/>
      </c>
    </row>
    <row r="470" spans="4:7" x14ac:dyDescent="0.25">
      <c r="D470" t="str">
        <f ca="1">IF(SUM($D$2:D469)&gt;$B$3,"",D469+_xll.RiskExpon($B$2))</f>
        <v/>
      </c>
      <c r="E470" t="str">
        <f t="shared" ca="1" si="7"/>
        <v/>
      </c>
      <c r="F470" t="str">
        <f ca="1">IF(E470="","",_xll.RiskExpon($B$1))</f>
        <v/>
      </c>
      <c r="G470" t="str">
        <f ca="1">IF(F470="","",$B$5+C470*$B$4-SUM($F$2:F470))</f>
        <v/>
      </c>
    </row>
    <row r="471" spans="4:7" x14ac:dyDescent="0.25">
      <c r="D471" t="str">
        <f ca="1">IF(SUM($D$2:D470)&gt;$B$3,"",D470+_xll.RiskExpon($B$2))</f>
        <v/>
      </c>
      <c r="E471" t="str">
        <f t="shared" ca="1" si="7"/>
        <v/>
      </c>
      <c r="F471" t="str">
        <f ca="1">IF(E471="","",_xll.RiskExpon($B$1))</f>
        <v/>
      </c>
      <c r="G471" t="str">
        <f ca="1">IF(F471="","",$B$5+C471*$B$4-SUM($F$2:F471))</f>
        <v/>
      </c>
    </row>
    <row r="472" spans="4:7" x14ac:dyDescent="0.25">
      <c r="D472" t="str">
        <f ca="1">IF(SUM($D$2:D471)&gt;$B$3,"",D471+_xll.RiskExpon($B$2))</f>
        <v/>
      </c>
      <c r="E472" t="str">
        <f t="shared" ca="1" si="7"/>
        <v/>
      </c>
      <c r="F472" t="str">
        <f ca="1">IF(E472="","",_xll.RiskExpon($B$1))</f>
        <v/>
      </c>
      <c r="G472" t="str">
        <f ca="1">IF(F472="","",$B$5+C472*$B$4-SUM($F$2:F472))</f>
        <v/>
      </c>
    </row>
    <row r="473" spans="4:7" x14ac:dyDescent="0.25">
      <c r="D473" t="str">
        <f ca="1">IF(SUM($D$2:D472)&gt;$B$3,"",D472+_xll.RiskExpon($B$2))</f>
        <v/>
      </c>
      <c r="E473" t="str">
        <f t="shared" ca="1" si="7"/>
        <v/>
      </c>
      <c r="F473" t="str">
        <f ca="1">IF(E473="","",_xll.RiskExpon($B$1))</f>
        <v/>
      </c>
      <c r="G473" t="str">
        <f ca="1">IF(F473="","",$B$5+C473*$B$4-SUM($F$2:F473))</f>
        <v/>
      </c>
    </row>
    <row r="474" spans="4:7" x14ac:dyDescent="0.25">
      <c r="D474" t="str">
        <f ca="1">IF(SUM($D$2:D473)&gt;$B$3,"",D473+_xll.RiskExpon($B$2))</f>
        <v/>
      </c>
      <c r="E474" t="str">
        <f t="shared" ca="1" si="7"/>
        <v/>
      </c>
      <c r="F474" t="str">
        <f ca="1">IF(E474="","",_xll.RiskExpon($B$1))</f>
        <v/>
      </c>
      <c r="G474" t="str">
        <f ca="1">IF(F474="","",$B$5+C474*$B$4-SUM($F$2:F474))</f>
        <v/>
      </c>
    </row>
    <row r="475" spans="4:7" x14ac:dyDescent="0.25">
      <c r="D475" t="str">
        <f ca="1">IF(SUM($D$2:D474)&gt;$B$3,"",D474+_xll.RiskExpon($B$2))</f>
        <v/>
      </c>
      <c r="E475" t="str">
        <f t="shared" ca="1" si="7"/>
        <v/>
      </c>
      <c r="F475" t="str">
        <f ca="1">IF(E475="","",_xll.RiskExpon($B$1))</f>
        <v/>
      </c>
      <c r="G475" t="str">
        <f ca="1">IF(F475="","",$B$5+C475*$B$4-SUM($F$2:F475))</f>
        <v/>
      </c>
    </row>
    <row r="476" spans="4:7" x14ac:dyDescent="0.25">
      <c r="D476" t="str">
        <f ca="1">IF(SUM($D$2:D475)&gt;$B$3,"",D475+_xll.RiskExpon($B$2))</f>
        <v/>
      </c>
      <c r="E476" t="str">
        <f t="shared" ca="1" si="7"/>
        <v/>
      </c>
      <c r="F476" t="str">
        <f ca="1">IF(E476="","",_xll.RiskExpon($B$1))</f>
        <v/>
      </c>
      <c r="G476" t="str">
        <f ca="1">IF(F476="","",$B$5+C476*$B$4-SUM($F$2:F476))</f>
        <v/>
      </c>
    </row>
    <row r="477" spans="4:7" x14ac:dyDescent="0.25">
      <c r="D477" t="str">
        <f ca="1">IF(SUM($D$2:D476)&gt;$B$3,"",D476+_xll.RiskExpon($B$2))</f>
        <v/>
      </c>
      <c r="E477" t="str">
        <f t="shared" ca="1" si="7"/>
        <v/>
      </c>
      <c r="F477" t="str">
        <f ca="1">IF(E477="","",_xll.RiskExpon($B$1))</f>
        <v/>
      </c>
      <c r="G477" t="str">
        <f ca="1">IF(F477="","",$B$5+C477*$B$4-SUM($F$2:F477))</f>
        <v/>
      </c>
    </row>
    <row r="478" spans="4:7" x14ac:dyDescent="0.25">
      <c r="D478" t="str">
        <f ca="1">IF(SUM($D$2:D477)&gt;$B$3,"",D477+_xll.RiskExpon($B$2))</f>
        <v/>
      </c>
      <c r="E478" t="str">
        <f t="shared" ca="1" si="7"/>
        <v/>
      </c>
      <c r="F478" t="str">
        <f ca="1">IF(E478="","",_xll.RiskExpon($B$1))</f>
        <v/>
      </c>
      <c r="G478" t="str">
        <f ca="1">IF(F478="","",$B$5+C478*$B$4-SUM($F$2:F478))</f>
        <v/>
      </c>
    </row>
    <row r="479" spans="4:7" x14ac:dyDescent="0.25">
      <c r="D479" t="str">
        <f ca="1">IF(SUM($D$2:D478)&gt;$B$3,"",D478+_xll.RiskExpon($B$2))</f>
        <v/>
      </c>
      <c r="E479" t="str">
        <f t="shared" ca="1" si="7"/>
        <v/>
      </c>
      <c r="F479" t="str">
        <f ca="1">IF(E479="","",_xll.RiskExpon($B$1))</f>
        <v/>
      </c>
      <c r="G479" t="str">
        <f ca="1">IF(F479="","",$B$5+C479*$B$4-SUM($F$2:F479))</f>
        <v/>
      </c>
    </row>
    <row r="480" spans="4:7" x14ac:dyDescent="0.25">
      <c r="D480" t="str">
        <f ca="1">IF(SUM($D$2:D479)&gt;$B$3,"",D479+_xll.RiskExpon($B$2))</f>
        <v/>
      </c>
      <c r="E480" t="str">
        <f t="shared" ca="1" si="7"/>
        <v/>
      </c>
      <c r="F480" t="str">
        <f ca="1">IF(E480="","",_xll.RiskExpon($B$1))</f>
        <v/>
      </c>
      <c r="G480" t="str">
        <f ca="1">IF(F480="","",$B$5+C480*$B$4-SUM($F$2:F480))</f>
        <v/>
      </c>
    </row>
    <row r="481" spans="4:7" x14ac:dyDescent="0.25">
      <c r="D481" t="str">
        <f ca="1">IF(SUM($D$2:D480)&gt;$B$3,"",D480+_xll.RiskExpon($B$2))</f>
        <v/>
      </c>
      <c r="E481" t="str">
        <f t="shared" ca="1" si="7"/>
        <v/>
      </c>
      <c r="F481" t="str">
        <f ca="1">IF(E481="","",_xll.RiskExpon($B$1))</f>
        <v/>
      </c>
      <c r="G481" t="str">
        <f ca="1">IF(F481="","",$B$5+C481*$B$4-SUM($F$2:F481))</f>
        <v/>
      </c>
    </row>
    <row r="482" spans="4:7" x14ac:dyDescent="0.25">
      <c r="D482" t="str">
        <f ca="1">IF(SUM($D$2:D481)&gt;$B$3,"",D481+_xll.RiskExpon($B$2))</f>
        <v/>
      </c>
      <c r="E482" t="str">
        <f t="shared" ca="1" si="7"/>
        <v/>
      </c>
      <c r="F482" t="str">
        <f ca="1">IF(E482="","",_xll.RiskExpon($B$1))</f>
        <v/>
      </c>
      <c r="G482" t="str">
        <f ca="1">IF(F482="","",$B$5+C482*$B$4-SUM($F$2:F482))</f>
        <v/>
      </c>
    </row>
    <row r="483" spans="4:7" x14ac:dyDescent="0.25">
      <c r="D483" t="str">
        <f ca="1">IF(SUM($D$2:D482)&gt;$B$3,"",D482+_xll.RiskExpon($B$2))</f>
        <v/>
      </c>
      <c r="E483" t="str">
        <f t="shared" ca="1" si="7"/>
        <v/>
      </c>
      <c r="F483" t="str">
        <f ca="1">IF(E483="","",_xll.RiskExpon($B$1))</f>
        <v/>
      </c>
      <c r="G483" t="str">
        <f ca="1">IF(F483="","",$B$5+C483*$B$4-SUM($F$2:F483))</f>
        <v/>
      </c>
    </row>
    <row r="484" spans="4:7" x14ac:dyDescent="0.25">
      <c r="D484" t="str">
        <f ca="1">IF(SUM($D$2:D483)&gt;$B$3,"",D483+_xll.RiskExpon($B$2))</f>
        <v/>
      </c>
      <c r="E484" t="str">
        <f t="shared" ca="1" si="7"/>
        <v/>
      </c>
      <c r="F484" t="str">
        <f ca="1">IF(E484="","",_xll.RiskExpon($B$1))</f>
        <v/>
      </c>
      <c r="G484" t="str">
        <f ca="1">IF(F484="","",$B$5+C484*$B$4-SUM($F$2:F484))</f>
        <v/>
      </c>
    </row>
    <row r="485" spans="4:7" x14ac:dyDescent="0.25">
      <c r="D485" t="str">
        <f ca="1">IF(SUM($D$2:D484)&gt;$B$3,"",D484+_xll.RiskExpon($B$2))</f>
        <v/>
      </c>
      <c r="E485" t="str">
        <f t="shared" ca="1" si="7"/>
        <v/>
      </c>
      <c r="F485" t="str">
        <f ca="1">IF(E485="","",_xll.RiskExpon($B$1))</f>
        <v/>
      </c>
      <c r="G485" t="str">
        <f ca="1">IF(F485="","",$B$5+C485*$B$4-SUM($F$2:F485))</f>
        <v/>
      </c>
    </row>
    <row r="486" spans="4:7" x14ac:dyDescent="0.25">
      <c r="D486" t="str">
        <f ca="1">IF(SUM($D$2:D485)&gt;$B$3,"",D485+_xll.RiskExpon($B$2))</f>
        <v/>
      </c>
      <c r="E486" t="str">
        <f t="shared" ca="1" si="7"/>
        <v/>
      </c>
      <c r="F486" t="str">
        <f ca="1">IF(E486="","",_xll.RiskExpon($B$1))</f>
        <v/>
      </c>
      <c r="G486" t="str">
        <f ca="1">IF(F486="","",$B$5+C486*$B$4-SUM($F$2:F486))</f>
        <v/>
      </c>
    </row>
    <row r="487" spans="4:7" x14ac:dyDescent="0.25">
      <c r="D487" t="str">
        <f ca="1">IF(SUM($D$2:D486)&gt;$B$3,"",D486+_xll.RiskExpon($B$2))</f>
        <v/>
      </c>
      <c r="E487" t="str">
        <f t="shared" ca="1" si="7"/>
        <v/>
      </c>
      <c r="F487" t="str">
        <f ca="1">IF(E487="","",_xll.RiskExpon($B$1))</f>
        <v/>
      </c>
      <c r="G487" t="str">
        <f ca="1">IF(F487="","",$B$5+C487*$B$4-SUM($F$2:F487))</f>
        <v/>
      </c>
    </row>
    <row r="488" spans="4:7" x14ac:dyDescent="0.25">
      <c r="D488" t="str">
        <f ca="1">IF(SUM($D$2:D487)&gt;$B$3,"",D487+_xll.RiskExpon($B$2))</f>
        <v/>
      </c>
      <c r="E488" t="str">
        <f t="shared" ca="1" si="7"/>
        <v/>
      </c>
      <c r="F488" t="str">
        <f ca="1">IF(E488="","",_xll.RiskExpon($B$1))</f>
        <v/>
      </c>
      <c r="G488" t="str">
        <f ca="1">IF(F488="","",$B$5+C488*$B$4-SUM($F$2:F488))</f>
        <v/>
      </c>
    </row>
    <row r="489" spans="4:7" x14ac:dyDescent="0.25">
      <c r="D489" t="str">
        <f ca="1">IF(SUM($D$2:D488)&gt;$B$3,"",D488+_xll.RiskExpon($B$2))</f>
        <v/>
      </c>
      <c r="E489" t="str">
        <f t="shared" ca="1" si="7"/>
        <v/>
      </c>
      <c r="F489" t="str">
        <f ca="1">IF(E489="","",_xll.RiskExpon($B$1))</f>
        <v/>
      </c>
      <c r="G489" t="str">
        <f ca="1">IF(F489="","",$B$5+C489*$B$4-SUM($F$2:F489))</f>
        <v/>
      </c>
    </row>
    <row r="490" spans="4:7" x14ac:dyDescent="0.25">
      <c r="D490" t="str">
        <f ca="1">IF(SUM($D$2:D489)&gt;$B$3,"",D489+_xll.RiskExpon($B$2))</f>
        <v/>
      </c>
      <c r="E490" t="str">
        <f t="shared" ca="1" si="7"/>
        <v/>
      </c>
      <c r="F490" t="str">
        <f ca="1">IF(E490="","",_xll.RiskExpon($B$1))</f>
        <v/>
      </c>
      <c r="G490" t="str">
        <f ca="1">IF(F490="","",$B$5+C490*$B$4-SUM($F$2:F490))</f>
        <v/>
      </c>
    </row>
    <row r="491" spans="4:7" x14ac:dyDescent="0.25">
      <c r="D491" t="str">
        <f ca="1">IF(SUM($D$2:D490)&gt;$B$3,"",D490+_xll.RiskExpon($B$2))</f>
        <v/>
      </c>
      <c r="E491" t="str">
        <f t="shared" ca="1" si="7"/>
        <v/>
      </c>
      <c r="F491" t="str">
        <f ca="1">IF(E491="","",_xll.RiskExpon($B$1))</f>
        <v/>
      </c>
      <c r="G491" t="str">
        <f ca="1">IF(F491="","",$B$5+C491*$B$4-SUM($F$2:F491))</f>
        <v/>
      </c>
    </row>
    <row r="492" spans="4:7" x14ac:dyDescent="0.25">
      <c r="D492" t="str">
        <f ca="1">IF(SUM($D$2:D491)&gt;$B$3,"",D491+_xll.RiskExpon($B$2))</f>
        <v/>
      </c>
      <c r="E492" t="str">
        <f t="shared" ca="1" si="7"/>
        <v/>
      </c>
      <c r="F492" t="str">
        <f ca="1">IF(E492="","",_xll.RiskExpon($B$1))</f>
        <v/>
      </c>
      <c r="G492" t="str">
        <f ca="1">IF(F492="","",$B$5+C492*$B$4-SUM($F$2:F492))</f>
        <v/>
      </c>
    </row>
    <row r="493" spans="4:7" x14ac:dyDescent="0.25">
      <c r="D493" t="str">
        <f ca="1">IF(SUM($D$2:D492)&gt;$B$3,"",D492+_xll.RiskExpon($B$2))</f>
        <v/>
      </c>
      <c r="E493" t="str">
        <f t="shared" ca="1" si="7"/>
        <v/>
      </c>
      <c r="F493" t="str">
        <f ca="1">IF(E493="","",_xll.RiskExpon($B$1))</f>
        <v/>
      </c>
      <c r="G493" t="str">
        <f ca="1">IF(F493="","",$B$5+C493*$B$4-SUM($F$2:F493))</f>
        <v/>
      </c>
    </row>
    <row r="494" spans="4:7" x14ac:dyDescent="0.25">
      <c r="D494" t="str">
        <f ca="1">IF(SUM($D$2:D493)&gt;$B$3,"",D493+_xll.RiskExpon($B$2))</f>
        <v/>
      </c>
      <c r="E494" t="str">
        <f t="shared" ca="1" si="7"/>
        <v/>
      </c>
      <c r="F494" t="str">
        <f ca="1">IF(E494="","",_xll.RiskExpon($B$1))</f>
        <v/>
      </c>
      <c r="G494" t="str">
        <f ca="1">IF(F494="","",$B$5+C494*$B$4-SUM($F$2:F494))</f>
        <v/>
      </c>
    </row>
    <row r="495" spans="4:7" x14ac:dyDescent="0.25">
      <c r="D495" t="str">
        <f ca="1">IF(SUM($D$2:D494)&gt;$B$3,"",D494+_xll.RiskExpon($B$2))</f>
        <v/>
      </c>
      <c r="E495" t="str">
        <f t="shared" ca="1" si="7"/>
        <v/>
      </c>
      <c r="F495" t="str">
        <f ca="1">IF(E495="","",_xll.RiskExpon($B$1))</f>
        <v/>
      </c>
      <c r="G495" t="str">
        <f ca="1">IF(F495="","",$B$5+C495*$B$4-SUM($F$2:F495))</f>
        <v/>
      </c>
    </row>
    <row r="496" spans="4:7" x14ac:dyDescent="0.25">
      <c r="D496" t="str">
        <f ca="1">IF(SUM($D$2:D495)&gt;$B$3,"",D495+_xll.RiskExpon($B$2))</f>
        <v/>
      </c>
      <c r="E496" t="str">
        <f t="shared" ca="1" si="7"/>
        <v/>
      </c>
      <c r="F496" t="str">
        <f ca="1">IF(E496="","",_xll.RiskExpon($B$1))</f>
        <v/>
      </c>
      <c r="G496" t="str">
        <f ca="1">IF(F496="","",$B$5+C496*$B$4-SUM($F$2:F496))</f>
        <v/>
      </c>
    </row>
    <row r="497" spans="4:7" x14ac:dyDescent="0.25">
      <c r="D497" t="str">
        <f ca="1">IF(SUM($D$2:D496)&gt;$B$3,"",D496+_xll.RiskExpon($B$2))</f>
        <v/>
      </c>
      <c r="E497" t="str">
        <f t="shared" ca="1" si="7"/>
        <v/>
      </c>
      <c r="F497" t="str">
        <f ca="1">IF(E497="","",_xll.RiskExpon($B$1))</f>
        <v/>
      </c>
      <c r="G497" t="str">
        <f ca="1">IF(F497="","",$B$5+C497*$B$4-SUM($F$2:F497))</f>
        <v/>
      </c>
    </row>
    <row r="498" spans="4:7" x14ac:dyDescent="0.25">
      <c r="D498" t="str">
        <f ca="1">IF(SUM($D$2:D497)&gt;$B$3,"",D497+_xll.RiskExpon($B$2))</f>
        <v/>
      </c>
      <c r="E498" t="str">
        <f t="shared" ca="1" si="7"/>
        <v/>
      </c>
      <c r="F498" t="str">
        <f ca="1">IF(E498="","",_xll.RiskExpon($B$1))</f>
        <v/>
      </c>
      <c r="G498" t="str">
        <f ca="1">IF(F498="","",$B$5+C498*$B$4-SUM($F$2:F498))</f>
        <v/>
      </c>
    </row>
    <row r="499" spans="4:7" x14ac:dyDescent="0.25">
      <c r="D499" t="str">
        <f ca="1">IF(SUM($D$2:D498)&gt;$B$3,"",D498+_xll.RiskExpon($B$2))</f>
        <v/>
      </c>
      <c r="E499" t="str">
        <f t="shared" ca="1" si="7"/>
        <v/>
      </c>
      <c r="F499" t="str">
        <f ca="1">IF(E499="","",_xll.RiskExpon($B$1))</f>
        <v/>
      </c>
    </row>
  </sheetData>
  <conditionalFormatting sqref="J2">
    <cfRule type="expression" dxfId="3" priority="1" stopIfTrue="1">
      <formula>RiskIsOutput</formula>
    </cfRule>
  </conditionalFormatting>
  <conditionalFormatting sqref="B6 F2:F499">
    <cfRule type="expression" dxfId="2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fin">
                <anchor moveWithCells="1" sizeWithCells="1">
                  <from>
                    <xdr:col>11</xdr:col>
                    <xdr:colOff>400050</xdr:colOff>
                    <xdr:row>0</xdr:row>
                    <xdr:rowOff>19050</xdr:rowOff>
                  </from>
                  <to>
                    <xdr:col>12</xdr:col>
                    <xdr:colOff>409575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J499"/>
  <sheetViews>
    <sheetView workbookViewId="0">
      <selection activeCell="G14" sqref="G14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9</v>
      </c>
      <c r="B1">
        <v>2</v>
      </c>
      <c r="C1" s="2" t="s">
        <v>13</v>
      </c>
      <c r="D1" s="2" t="s">
        <v>14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10</v>
      </c>
      <c r="B2">
        <v>2</v>
      </c>
      <c r="C2">
        <f ca="1">INT(D2)</f>
        <v>1</v>
      </c>
      <c r="D2">
        <f ca="1">_xll.RiskExpon(B3)</f>
        <v>1.3818946226326818</v>
      </c>
      <c r="E2">
        <f>IF(B1="","",1)</f>
        <v>1</v>
      </c>
      <c r="F2">
        <f ca="1">IF(E2="","",_xll.RiskNormal($B$1,$B$2,_xll.RiskTruncate($B$8,$B$9)))</f>
        <v>0.46994237951079221</v>
      </c>
      <c r="G2">
        <f ca="1">IF(F2="","",$B$6+C2*$B$5-F2)</f>
        <v>5.5300576204892078</v>
      </c>
    </row>
    <row r="3" spans="1:10" x14ac:dyDescent="0.25">
      <c r="A3" s="1" t="s">
        <v>4</v>
      </c>
      <c r="B3">
        <v>1</v>
      </c>
      <c r="C3">
        <f ca="1">IF(D3="","",INT(SUM($D$2:D3)))</f>
        <v>3</v>
      </c>
      <c r="D3">
        <f ca="1">IF(D2&gt;$B$4,"",D2+_xll.RiskExpon($B$3))</f>
        <v>1.9282646383900941</v>
      </c>
      <c r="E3">
        <f ca="1">IF(E2&lt;$B$7,E2+1,"")</f>
        <v>2</v>
      </c>
      <c r="F3">
        <f ca="1">IF(E3="","",_xll.RiskNormal($B$1,$B$2,_xll.RiskTruncate($B$8,$B$9)))</f>
        <v>4.2118013230944884</v>
      </c>
      <c r="G3">
        <f ca="1">IF(F3="","",$B$6+C3*$B$5-SUM($F$2:F3))</f>
        <v>3.3182562973947194</v>
      </c>
    </row>
    <row r="4" spans="1:10" x14ac:dyDescent="0.25">
      <c r="A4" s="1" t="s">
        <v>5</v>
      </c>
      <c r="B4">
        <v>10</v>
      </c>
      <c r="C4">
        <f ca="1">IF(D4="","",INT(SUM($D$2:D4)))</f>
        <v>7</v>
      </c>
      <c r="D4">
        <f ca="1">IF(SUM($D$2:D3)&gt;$B$4,"",D3+_xll.RiskExpon($B$3))</f>
        <v>3.7401387767046526</v>
      </c>
      <c r="E4">
        <f t="shared" ref="E4:E67" ca="1" si="0">IF(E3&lt;$B$7,E3+1,"")</f>
        <v>3</v>
      </c>
      <c r="F4">
        <f ca="1">IF(E4="","",_xll.RiskNormal($B$1,$B$2,_xll.RiskTruncate($B$8,$B$9)))</f>
        <v>0.91701399420251328</v>
      </c>
      <c r="G4">
        <f ca="1">IF(F4="","",$B$6+C4*$B$5-SUM($F$2:F4))</f>
        <v>6.4012423031922063</v>
      </c>
    </row>
    <row r="5" spans="1:10" x14ac:dyDescent="0.25">
      <c r="A5" s="1" t="s">
        <v>1</v>
      </c>
      <c r="B5">
        <v>1</v>
      </c>
      <c r="C5">
        <f ca="1">IF(D5="","",INT(SUM($D$2:D5)))</f>
        <v>11</v>
      </c>
      <c r="D5">
        <f ca="1">IF(SUM($D$2:D4)&gt;$B$4,"",D4+_xll.RiskExpon($B$3))</f>
        <v>4.6079834746188535</v>
      </c>
      <c r="E5">
        <f t="shared" ca="1" si="0"/>
        <v>4</v>
      </c>
      <c r="F5">
        <f ca="1">IF(E5="","",_xll.RiskNormal($B$1,$B$2,_xll.RiskTruncate($B$8,$B$9)))</f>
        <v>3.9289484333123044</v>
      </c>
      <c r="G5">
        <f ca="1">IF(F5="","",$B$6+C5*$B$5-SUM($F$2:F5))</f>
        <v>6.472293869879902</v>
      </c>
    </row>
    <row r="6" spans="1:10" x14ac:dyDescent="0.25">
      <c r="A6" s="1" t="s">
        <v>0</v>
      </c>
      <c r="B6">
        <v>5</v>
      </c>
      <c r="C6" t="str">
        <f ca="1">IF(D6="","",INT(SUM($D$2:D6)))</f>
        <v/>
      </c>
      <c r="D6" t="str">
        <f ca="1">IF(SUM($D$2:D5)&gt;$B$4,"",D5+_xll.RiskExpon($B$3))</f>
        <v/>
      </c>
      <c r="E6" t="str">
        <f t="shared" ca="1" si="0"/>
        <v/>
      </c>
      <c r="F6" t="str">
        <f ca="1">IF(E6="","",_xll.RiskNormal($B$1,$B$2,_xll.RiskTruncate($B$8,$B$9)))</f>
        <v/>
      </c>
      <c r="G6" t="str">
        <f ca="1">IF(F6="","",$B$6+C6*$B$5-SUM($F$2:F6))</f>
        <v/>
      </c>
    </row>
    <row r="7" spans="1:10" x14ac:dyDescent="0.25">
      <c r="A7" s="1" t="s">
        <v>6</v>
      </c>
      <c r="B7">
        <f ca="1">COUNT(C2:C101)</f>
        <v>4</v>
      </c>
      <c r="C7" t="str">
        <f ca="1">IF(D7="","",INT(SUM($D$2:D7)))</f>
        <v/>
      </c>
      <c r="D7" t="str">
        <f ca="1">IF(SUM($D$2:D6)&gt;$B$4,"",D6+_xll.RiskExpon($B$3))</f>
        <v/>
      </c>
      <c r="E7" t="str">
        <f t="shared" ca="1" si="0"/>
        <v/>
      </c>
      <c r="F7" t="str">
        <f ca="1">IF(E7="","",_xll.RiskNormal($B$1,$B$2,_xll.RiskTruncate($B$8,$B$9)))</f>
        <v/>
      </c>
      <c r="G7" t="str">
        <f ca="1">IF(F7="","",$B$6+C7*$B$5-SUM($F$2:F7))</f>
        <v/>
      </c>
    </row>
    <row r="8" spans="1:10" x14ac:dyDescent="0.25">
      <c r="A8" s="1" t="s">
        <v>11</v>
      </c>
      <c r="B8">
        <v>0</v>
      </c>
      <c r="C8" t="str">
        <f ca="1">IF(D8="","",INT(SUM($D$2:D8)))</f>
        <v/>
      </c>
      <c r="D8" t="str">
        <f ca="1">IF(SUM($D$2:D7)&gt;$B$4,"",D7+_xll.RiskExpon($B$3))</f>
        <v/>
      </c>
      <c r="E8" t="str">
        <f t="shared" ca="1" si="0"/>
        <v/>
      </c>
      <c r="F8" t="str">
        <f ca="1">IF(E8="","",_xll.RiskNormal($B$1,$B$2,_xll.RiskTruncate($B$8,$B$9)))</f>
        <v/>
      </c>
      <c r="G8" t="str">
        <f ca="1">IF(F8="","",$B$6+C8*$B$5-SUM($F$2:F8))</f>
        <v/>
      </c>
    </row>
    <row r="9" spans="1:10" x14ac:dyDescent="0.25">
      <c r="A9" s="1" t="s">
        <v>12</v>
      </c>
      <c r="B9">
        <v>10</v>
      </c>
      <c r="C9" t="str">
        <f ca="1">IF(D9="","",INT(SUM($D$2:D9)))</f>
        <v/>
      </c>
      <c r="D9" t="str">
        <f ca="1">IF(SUM($D$2:D8)&gt;$B$4,"",D8+_xll.RiskExpon($B$3))</f>
        <v/>
      </c>
      <c r="E9" t="str">
        <f t="shared" ca="1" si="0"/>
        <v/>
      </c>
      <c r="F9" t="str">
        <f ca="1">IF(E9="","",_xll.RiskNormal($B$1,$B$2,_xll.RiskTruncate($B$8,$B$9)))</f>
        <v/>
      </c>
      <c r="G9" t="str">
        <f ca="1">IF(F9="","",$B$6+C9*$B$5-SUM($F$2:F9))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IF(SUM($D$2:D9)&gt;$B$4,"",D9+_xll.RiskExpon($B$3))</f>
        <v/>
      </c>
      <c r="E10" t="str">
        <f t="shared" ca="1" si="0"/>
        <v/>
      </c>
      <c r="F10" t="str">
        <f ca="1">IF(E10="","",_xll.RiskNormal($B$1,$B$2,_xll.RiskTruncate($B$8,$B$9)))</f>
        <v/>
      </c>
      <c r="G10" t="str">
        <f ca="1">IF(F10="","",$B$6+C10*$B$5-SUM($F$2:F10))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IF(SUM($D$2:D10)&gt;$B$4,"",D10+_xll.RiskExpon($B$3))</f>
        <v/>
      </c>
      <c r="E11" t="str">
        <f t="shared" ca="1" si="0"/>
        <v/>
      </c>
      <c r="F11" t="str">
        <f ca="1">IF(E11="","",_xll.RiskNormal($B$1,$B$2,_xll.RiskTruncate($B$8,$B$9)))</f>
        <v/>
      </c>
      <c r="G11" t="str">
        <f ca="1">IF(F11="","",$B$6+C11*$B$5-SUM($F$2:F11))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IF(SUM($D$2:D11)&gt;$B$4,"",D11+_xll.RiskExpon($B$3))</f>
        <v/>
      </c>
      <c r="E12" t="str">
        <f t="shared" ca="1" si="0"/>
        <v/>
      </c>
      <c r="F12" t="str">
        <f ca="1">IF(E12="","",_xll.RiskNormal($B$1,$B$2,_xll.RiskTruncate($B$8,$B$9)))</f>
        <v/>
      </c>
      <c r="G12" t="str">
        <f ca="1">IF(F12="","",$B$6+C12*$B$5-SUM($F$2:F12))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IF(SUM($D$2:D12)&gt;$B$4,"",D12+_xll.RiskExpon($B$3))</f>
        <v/>
      </c>
      <c r="E13" t="str">
        <f t="shared" ca="1" si="0"/>
        <v/>
      </c>
      <c r="F13" t="str">
        <f ca="1">IF(E13="","",_xll.RiskNormal($B$1,$B$2,_xll.RiskTruncate($B$8,$B$9)))</f>
        <v/>
      </c>
      <c r="G13" t="str">
        <f ca="1">IF(F13="","",$B$6+C13*$B$5-SUM($F$2:F13))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IF(SUM($D$2:D13)&gt;$B$4,"",D13+_xll.RiskExpon($B$3))</f>
        <v/>
      </c>
      <c r="E14" t="str">
        <f t="shared" ca="1" si="0"/>
        <v/>
      </c>
      <c r="F14" t="str">
        <f ca="1">IF(E14="","",_xll.RiskNormal($B$1,$B$2,_xll.RiskTruncate($B$8,$B$9)))</f>
        <v/>
      </c>
      <c r="G14" t="str">
        <f ca="1">IF(F14="","",$B$6+C14*$B$5-SUM($F$2:F14))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IF(SUM($D$2:D14)&gt;$B$4,"",D14+_xll.RiskExpon($B$3))</f>
        <v/>
      </c>
      <c r="E15" t="str">
        <f t="shared" ca="1" si="0"/>
        <v/>
      </c>
      <c r="F15" t="str">
        <f ca="1">IF(E15="","",_xll.RiskNormal($B$1,$B$2,_xll.RiskTruncate($B$8,$B$9)))</f>
        <v/>
      </c>
      <c r="G15" t="str">
        <f ca="1">IF(F15="","",$B$6+C15*$B$5-SUM($F$2:F15))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IF(SUM($D$2:D15)&gt;$B$4,"",D15+_xll.RiskExpon($B$3))</f>
        <v/>
      </c>
      <c r="E16" t="str">
        <f t="shared" ca="1" si="0"/>
        <v/>
      </c>
      <c r="F16" t="str">
        <f ca="1">IF(E16="","",_xll.RiskNormal($B$1,$B$2,_xll.RiskTruncate($B$8,$B$9)))</f>
        <v/>
      </c>
      <c r="G16" t="str">
        <f ca="1">IF(F16="","",$B$6+C16*$B$5-SUM($F$2:F16))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IF(SUM($D$2:D16)&gt;$B$4,"",D16+_xll.RiskExpon($B$3))</f>
        <v/>
      </c>
      <c r="E17" t="str">
        <f t="shared" ca="1" si="0"/>
        <v/>
      </c>
      <c r="F17" t="str">
        <f ca="1">IF(E17="","",_xll.RiskNormal($B$1,$B$2,_xll.RiskTruncate($B$8,$B$9)))</f>
        <v/>
      </c>
      <c r="G17" t="str">
        <f ca="1">IF(F17="","",$B$6+C17*$B$5-SUM($F$2:F17))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IF(SUM($D$2:D17)&gt;$B$4,"",D17+_xll.RiskExpon($B$3))</f>
        <v/>
      </c>
      <c r="E18" t="str">
        <f t="shared" ca="1" si="0"/>
        <v/>
      </c>
      <c r="F18" t="str">
        <f ca="1">IF(E18="","",_xll.RiskNormal($B$1,$B$2,_xll.RiskTruncate($B$8,$B$9)))</f>
        <v/>
      </c>
      <c r="G18" t="str">
        <f ca="1">IF(F18="","",$B$6+C18*$B$5-SUM($F$2:F18))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IF(SUM($D$2:D18)&gt;$B$4,"",D18+_xll.RiskExpon($B$3))</f>
        <v/>
      </c>
      <c r="E19" t="str">
        <f t="shared" ca="1" si="0"/>
        <v/>
      </c>
      <c r="F19" t="str">
        <f ca="1">IF(E19="","",_xll.RiskNormal($B$1,$B$2,_xll.RiskTruncate($B$8,$B$9)))</f>
        <v/>
      </c>
      <c r="G19" t="str">
        <f ca="1">IF(F19="","",$B$6+C19*$B$5-SUM($F$2:F19))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IF(SUM($D$2:D19)&gt;$B$4,"",D19+_xll.RiskExpon($B$3))</f>
        <v/>
      </c>
      <c r="E20" t="str">
        <f t="shared" ca="1" si="0"/>
        <v/>
      </c>
      <c r="F20" t="str">
        <f ca="1">IF(E20="","",_xll.RiskNormal($B$1,$B$2,_xll.RiskTruncate($B$8,$B$9)))</f>
        <v/>
      </c>
      <c r="G20" t="str">
        <f ca="1">IF(F20="","",$B$6+C20*$B$5-SUM($F$2:F20))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IF(SUM($D$2:D20)&gt;$B$4,"",D20+_xll.RiskExpon($B$3))</f>
        <v/>
      </c>
      <c r="E21" t="str">
        <f t="shared" ca="1" si="0"/>
        <v/>
      </c>
      <c r="F21" t="str">
        <f ca="1">IF(E21="","",_xll.RiskNormal($B$1,$B$2,_xll.RiskTruncate($B$8,$B$9)))</f>
        <v/>
      </c>
      <c r="G21" t="str">
        <f ca="1">IF(F21="","",$B$6+C21*$B$5-SUM($F$2:F21))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IF(SUM($D$2:D21)&gt;$B$4,"",D21+_xll.RiskExpon($B$3))</f>
        <v/>
      </c>
      <c r="E22" t="str">
        <f t="shared" ca="1" si="0"/>
        <v/>
      </c>
      <c r="F22" t="str">
        <f ca="1">IF(E22="","",_xll.RiskNormal($B$1,$B$2,_xll.RiskTruncate($B$8,$B$9)))</f>
        <v/>
      </c>
      <c r="G22" t="str">
        <f ca="1">IF(F22="","",$B$6+C22*$B$5-SUM($F$2:F22))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IF(SUM($D$2:D22)&gt;$B$4,"",D22+_xll.RiskExpon($B$3))</f>
        <v/>
      </c>
      <c r="E23" t="str">
        <f t="shared" ca="1" si="0"/>
        <v/>
      </c>
      <c r="F23" t="str">
        <f ca="1">IF(E23="","",_xll.RiskNormal($B$1,$B$2,_xll.RiskTruncate($B$8,$B$9)))</f>
        <v/>
      </c>
      <c r="G23" t="str">
        <f ca="1">IF(F23="","",$B$6+C23*$B$5-SUM($F$2:F23))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IF(SUM($D$2:D23)&gt;$B$4,"",D23+_xll.RiskExpon($B$3))</f>
        <v/>
      </c>
      <c r="E24" t="str">
        <f t="shared" ca="1" si="0"/>
        <v/>
      </c>
      <c r="F24" t="str">
        <f ca="1">IF(E24="","",_xll.RiskNormal($B$1,$B$2,_xll.RiskTruncate($B$8,$B$9)))</f>
        <v/>
      </c>
      <c r="G24" t="str">
        <f ca="1">IF(F24="","",$B$6+C24*$B$5-SUM($F$2:F24))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IF(SUM($D$2:D24)&gt;$B$4,"",D24+_xll.RiskExpon($B$3))</f>
        <v/>
      </c>
      <c r="E25" t="str">
        <f t="shared" ca="1" si="0"/>
        <v/>
      </c>
      <c r="F25" t="str">
        <f ca="1">IF(E25="","",_xll.RiskNormal($B$1,$B$2,_xll.RiskTruncate($B$8,$B$9)))</f>
        <v/>
      </c>
      <c r="G25" t="str">
        <f ca="1">IF(F25="","",$B$6+C25*$B$5-SUM($F$2:F25))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IF(SUM($D$2:D25)&gt;$B$4,"",D25+_xll.RiskExpon($B$3))</f>
        <v/>
      </c>
      <c r="E26" t="str">
        <f t="shared" ca="1" si="0"/>
        <v/>
      </c>
      <c r="F26" t="str">
        <f ca="1">IF(E26="","",_xll.RiskNormal($B$1,$B$2,_xll.RiskTruncate($B$8,$B$9)))</f>
        <v/>
      </c>
      <c r="G26" t="str">
        <f ca="1">IF(F26="","",$B$6+C26*$B$5-SUM($F$2:F26))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IF(SUM($D$2:D26)&gt;$B$4,"",D26+_xll.RiskExpon($B$3))</f>
        <v/>
      </c>
      <c r="E27" t="str">
        <f t="shared" ca="1" si="0"/>
        <v/>
      </c>
      <c r="F27" t="str">
        <f ca="1">IF(E27="","",_xll.RiskNormal($B$1,$B$2,_xll.RiskTruncate($B$8,$B$9)))</f>
        <v/>
      </c>
      <c r="G27" t="str">
        <f ca="1">IF(F27="","",$B$6+C27*$B$5-SUM($F$2:F27))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IF(SUM($D$2:D27)&gt;$B$4,"",D27+_xll.RiskExpon($B$3))</f>
        <v/>
      </c>
      <c r="E28" t="str">
        <f t="shared" ca="1" si="0"/>
        <v/>
      </c>
      <c r="F28" t="str">
        <f ca="1">IF(E28="","",_xll.RiskNormal($B$1,$B$2,_xll.RiskTruncate($B$8,$B$9)))</f>
        <v/>
      </c>
      <c r="G28" t="str">
        <f ca="1">IF(F28="","",$B$6+C28*$B$5-SUM($F$2:F28))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IF(SUM($D$2:D28)&gt;$B$4,"",D28+_xll.RiskExpon($B$3))</f>
        <v/>
      </c>
      <c r="E29" t="str">
        <f t="shared" ca="1" si="0"/>
        <v/>
      </c>
      <c r="F29" t="str">
        <f ca="1">IF(E29="","",_xll.RiskNormal($B$1,$B$2,_xll.RiskTruncate($B$8,$B$9)))</f>
        <v/>
      </c>
      <c r="G29" t="str">
        <f ca="1">IF(F29="","",$B$6+C29*$B$5-SUM($F$2:F29))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IF(SUM($D$2:D29)&gt;$B$4,"",D29+_xll.RiskExpon($B$3))</f>
        <v/>
      </c>
      <c r="E30" t="str">
        <f t="shared" ca="1" si="0"/>
        <v/>
      </c>
      <c r="F30" t="str">
        <f ca="1">IF(E30="","",_xll.RiskNormal($B$1,$B$2,_xll.RiskTruncate($B$8,$B$9)))</f>
        <v/>
      </c>
      <c r="G30" t="str">
        <f ca="1">IF(F30="","",$B$6+C30*$B$5-SUM($F$2:F30))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IF(SUM($D$2:D30)&gt;$B$4,"",D30+_xll.RiskExpon($B$3))</f>
        <v/>
      </c>
      <c r="E31" t="str">
        <f t="shared" ca="1" si="0"/>
        <v/>
      </c>
      <c r="F31" t="str">
        <f ca="1">IF(E31="","",_xll.RiskNormal($B$1,$B$2,_xll.RiskTruncate($B$8,$B$9)))</f>
        <v/>
      </c>
      <c r="G31" t="str">
        <f ca="1">IF(F31="","",$B$6+C31*$B$5-SUM($F$2:F31))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IF(SUM($D$2:D31)&gt;$B$4,"",D31+_xll.RiskExpon($B$3))</f>
        <v/>
      </c>
      <c r="E32" t="str">
        <f t="shared" ca="1" si="0"/>
        <v/>
      </c>
      <c r="F32" t="str">
        <f ca="1">IF(E32="","",_xll.RiskNormal($B$1,$B$2,_xll.RiskTruncate($B$8,$B$9)))</f>
        <v/>
      </c>
      <c r="G32" t="str">
        <f ca="1">IF(F32="","",$B$6+C32*$B$5-SUM($F$2:F32))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IF(SUM($D$2:D32)&gt;$B$4,"",D32+_xll.RiskExpon($B$3))</f>
        <v/>
      </c>
      <c r="E33" t="str">
        <f t="shared" ca="1" si="0"/>
        <v/>
      </c>
      <c r="F33" t="str">
        <f ca="1">IF(E33="","",_xll.RiskNormal($B$1,$B$2,_xll.RiskTruncate($B$8,$B$9)))</f>
        <v/>
      </c>
      <c r="G33" t="str">
        <f ca="1">IF(F33="","",$B$6+C33*$B$5-SUM($F$2:F33))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IF(SUM($D$2:D33)&gt;$B$4,"",D33+_xll.RiskExpon($B$3))</f>
        <v/>
      </c>
      <c r="E34" t="str">
        <f t="shared" ca="1" si="0"/>
        <v/>
      </c>
      <c r="F34" t="str">
        <f ca="1">IF(E34="","",_xll.RiskNormal($B$1,$B$2,_xll.RiskTruncate($B$8,$B$9)))</f>
        <v/>
      </c>
      <c r="G34" t="str">
        <f ca="1">IF(F34="","",$B$6+C34*$B$5-SUM($F$2:F34))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IF(SUM($D$2:D34)&gt;$B$4,"",D34+_xll.RiskExpon($B$3))</f>
        <v/>
      </c>
      <c r="E35" t="str">
        <f t="shared" ca="1" si="0"/>
        <v/>
      </c>
      <c r="F35" t="str">
        <f ca="1">IF(E35="","",_xll.RiskNormal($B$1,$B$2,_xll.RiskTruncate($B$8,$B$9)))</f>
        <v/>
      </c>
      <c r="G35" t="str">
        <f ca="1">IF(F35="","",$B$6+C35*$B$5-SUM($F$2:F35))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IF(SUM($D$2:D35)&gt;$B$4,"",D35+_xll.RiskExpon($B$3))</f>
        <v/>
      </c>
      <c r="E36" t="str">
        <f t="shared" ca="1" si="0"/>
        <v/>
      </c>
      <c r="F36" t="str">
        <f ca="1">IF(E36="","",_xll.RiskNormal($B$1,$B$2,_xll.RiskTruncate($B$8,$B$9)))</f>
        <v/>
      </c>
      <c r="G36" t="str">
        <f ca="1">IF(F36="","",$B$6+C36*$B$5-SUM($F$2:F36))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IF(SUM($D$2:D36)&gt;$B$4,"",D36+_xll.RiskExpon($B$3))</f>
        <v/>
      </c>
      <c r="E37" t="str">
        <f t="shared" ca="1" si="0"/>
        <v/>
      </c>
      <c r="F37" t="str">
        <f ca="1">IF(E37="","",_xll.RiskNormal($B$1,$B$2,_xll.RiskTruncate($B$8,$B$9)))</f>
        <v/>
      </c>
      <c r="G37" t="str">
        <f ca="1">IF(F37="","",$B$6+C37*$B$5-SUM($F$2:F37))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IF(SUM($D$2:D37)&gt;$B$4,"",D37+_xll.RiskExpon($B$3))</f>
        <v/>
      </c>
      <c r="E38" t="str">
        <f t="shared" ca="1" si="0"/>
        <v/>
      </c>
      <c r="F38" t="str">
        <f ca="1">IF(E38="","",_xll.RiskNormal($B$1,$B$2,_xll.RiskTruncate($B$8,$B$9)))</f>
        <v/>
      </c>
      <c r="G38" t="str">
        <f ca="1">IF(F38="","",$B$6+C38*$B$5-SUM($F$2:F38))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IF(SUM($D$2:D38)&gt;$B$4,"",D38+_xll.RiskExpon($B$3))</f>
        <v/>
      </c>
      <c r="E39" t="str">
        <f t="shared" ca="1" si="0"/>
        <v/>
      </c>
      <c r="F39" t="str">
        <f ca="1">IF(E39="","",_xll.RiskNormal($B$1,$B$2,_xll.RiskTruncate($B$8,$B$9)))</f>
        <v/>
      </c>
      <c r="G39" t="str">
        <f ca="1">IF(F39="","",$B$6+C39*$B$5-SUM($F$2:F39))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IF(SUM($D$2:D39)&gt;$B$4,"",D39+_xll.RiskExpon($B$3))</f>
        <v/>
      </c>
      <c r="E40" t="str">
        <f t="shared" ca="1" si="0"/>
        <v/>
      </c>
      <c r="F40" t="str">
        <f ca="1">IF(E40="","",_xll.RiskNormal($B$1,$B$2,_xll.RiskTruncate($B$8,$B$9)))</f>
        <v/>
      </c>
      <c r="G40" t="str">
        <f ca="1">IF(F40="","",$B$6+C40*$B$5-SUM($F$2:F40))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IF(SUM($D$2:D40)&gt;$B$4,"",D40+_xll.RiskExpon($B$3))</f>
        <v/>
      </c>
      <c r="E41" t="str">
        <f t="shared" ca="1" si="0"/>
        <v/>
      </c>
      <c r="F41" t="str">
        <f ca="1">IF(E41="","",_xll.RiskNormal($B$1,$B$2,_xll.RiskTruncate($B$8,$B$9)))</f>
        <v/>
      </c>
      <c r="G41" t="str">
        <f ca="1">IF(F41="","",$B$6+C41*$B$5-SUM($F$2:F41))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IF(SUM($D$2:D41)&gt;$B$4,"",D41+_xll.RiskExpon($B$3))</f>
        <v/>
      </c>
      <c r="E42" t="str">
        <f t="shared" ca="1" si="0"/>
        <v/>
      </c>
      <c r="F42" t="str">
        <f ca="1">IF(E42="","",_xll.RiskNormal($B$1,$B$2,_xll.RiskTruncate($B$8,$B$9)))</f>
        <v/>
      </c>
      <c r="G42" t="str">
        <f ca="1">IF(F42="","",$B$6+C42*$B$5-SUM($F$2:F42))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IF(SUM($D$2:D42)&gt;$B$4,"",D42+_xll.RiskExpon($B$3))</f>
        <v/>
      </c>
      <c r="E43" t="str">
        <f t="shared" ca="1" si="0"/>
        <v/>
      </c>
      <c r="F43" t="str">
        <f ca="1">IF(E43="","",_xll.RiskNormal($B$1,$B$2,_xll.RiskTruncate($B$8,$B$9)))</f>
        <v/>
      </c>
      <c r="G43" t="str">
        <f ca="1">IF(F43="","",$B$6+C43*$B$5-SUM($F$2:F43))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IF(SUM($D$2:D43)&gt;$B$4,"",D43+_xll.RiskExpon($B$3))</f>
        <v/>
      </c>
      <c r="E44" t="str">
        <f t="shared" ca="1" si="0"/>
        <v/>
      </c>
      <c r="F44" t="str">
        <f ca="1">IF(E44="","",_xll.RiskNormal($B$1,$B$2,_xll.RiskTruncate($B$8,$B$9)))</f>
        <v/>
      </c>
      <c r="G44" t="str">
        <f ca="1">IF(F44="","",$B$6+C44*$B$5-SUM($F$2:F44))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IF(SUM($D$2:D44)&gt;$B$4,"",D44+_xll.RiskExpon($B$3))</f>
        <v/>
      </c>
      <c r="E45" t="str">
        <f t="shared" ca="1" si="0"/>
        <v/>
      </c>
      <c r="F45" t="str">
        <f ca="1">IF(E45="","",_xll.RiskNormal($B$1,$B$2,_xll.RiskTruncate($B$8,$B$9)))</f>
        <v/>
      </c>
      <c r="G45" t="str">
        <f ca="1">IF(F45="","",$B$6+C45*$B$5-SUM($F$2:F45))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IF(SUM($D$2:D45)&gt;$B$4,"",D45+_xll.RiskExpon($B$3))</f>
        <v/>
      </c>
      <c r="E46" t="str">
        <f t="shared" ca="1" si="0"/>
        <v/>
      </c>
      <c r="F46" t="str">
        <f ca="1">IF(E46="","",_xll.RiskNormal($B$1,$B$2,_xll.RiskTruncate($B$8,$B$9)))</f>
        <v/>
      </c>
      <c r="G46" t="str">
        <f ca="1">IF(F46="","",$B$6+C46*$B$5-SUM($F$2:F46))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IF(SUM($D$2:D46)&gt;$B$4,"",D46+_xll.RiskExpon($B$3))</f>
        <v/>
      </c>
      <c r="E47" t="str">
        <f t="shared" ca="1" si="0"/>
        <v/>
      </c>
      <c r="F47" t="str">
        <f ca="1">IF(E47="","",_xll.RiskNormal($B$1,$B$2,_xll.RiskTruncate($B$8,$B$9)))</f>
        <v/>
      </c>
      <c r="G47" t="str">
        <f ca="1">IF(F47="","",$B$6+C47*$B$5-SUM($F$2:F47))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IF(SUM($D$2:D47)&gt;$B$4,"",D47+_xll.RiskExpon($B$3))</f>
        <v/>
      </c>
      <c r="E48" t="str">
        <f t="shared" ca="1" si="0"/>
        <v/>
      </c>
      <c r="F48" t="str">
        <f ca="1">IF(E48="","",_xll.RiskNormal($B$1,$B$2,_xll.RiskTruncate($B$8,$B$9)))</f>
        <v/>
      </c>
      <c r="G48" t="str">
        <f ca="1">IF(F48="","",$B$6+C48*$B$5-SUM($F$2:F48))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IF(SUM($D$2:D48)&gt;$B$4,"",D48+_xll.RiskExpon($B$3))</f>
        <v/>
      </c>
      <c r="E49" t="str">
        <f t="shared" ca="1" si="0"/>
        <v/>
      </c>
      <c r="F49" t="str">
        <f ca="1">IF(E49="","",_xll.RiskNormal($B$1,$B$2,_xll.RiskTruncate($B$8,$B$9)))</f>
        <v/>
      </c>
      <c r="G49" t="str">
        <f ca="1">IF(F49="","",$B$6+C49*$B$5-SUM($F$2:F49))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IF(SUM($D$2:D49)&gt;$B$4,"",D49+_xll.RiskExpon($B$3))</f>
        <v/>
      </c>
      <c r="E50" t="str">
        <f t="shared" ca="1" si="0"/>
        <v/>
      </c>
      <c r="F50" t="str">
        <f ca="1">IF(E50="","",_xll.RiskNormal($B$1,$B$2,_xll.RiskTruncate($B$8,$B$9)))</f>
        <v/>
      </c>
      <c r="G50" t="str">
        <f ca="1">IF(F50="","",$B$6+C50*$B$5-SUM($F$2:F50))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IF(SUM($D$2:D50)&gt;$B$4,"",D50+_xll.RiskExpon($B$3))</f>
        <v/>
      </c>
      <c r="E51" t="str">
        <f t="shared" ca="1" si="0"/>
        <v/>
      </c>
      <c r="F51" t="str">
        <f ca="1">IF(E51="","",_xll.RiskNormal($B$1,$B$2,_xll.RiskTruncate($B$8,$B$9)))</f>
        <v/>
      </c>
      <c r="G51" t="str">
        <f ca="1">IF(F51="","",$B$6+C51*$B$5-SUM($F$2:F51))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IF(SUM($D$2:D51)&gt;$B$4,"",D51+_xll.RiskExpon($B$3))</f>
        <v/>
      </c>
      <c r="E52" t="str">
        <f t="shared" ca="1" si="0"/>
        <v/>
      </c>
      <c r="F52" t="str">
        <f ca="1">IF(E52="","",_xll.RiskNormal($B$1,$B$2,_xll.RiskTruncate($B$8,$B$9)))</f>
        <v/>
      </c>
      <c r="G52" t="str">
        <f ca="1">IF(F52="","",$B$6+C52*$B$5-SUM($F$2:F52))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IF(SUM($D$2:D52)&gt;$B$4,"",D52+_xll.RiskExpon($B$3))</f>
        <v/>
      </c>
      <c r="E53" t="str">
        <f t="shared" ca="1" si="0"/>
        <v/>
      </c>
      <c r="F53" t="str">
        <f ca="1">IF(E53="","",_xll.RiskNormal($B$1,$B$2,_xll.RiskTruncate($B$8,$B$9)))</f>
        <v/>
      </c>
      <c r="G53" t="str">
        <f ca="1">IF(F53="","",$B$6+C53*$B$5-SUM($F$2:F53))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IF(SUM($D$2:D53)&gt;$B$4,"",D53+_xll.RiskExpon($B$3))</f>
        <v/>
      </c>
      <c r="E54" t="str">
        <f t="shared" ca="1" si="0"/>
        <v/>
      </c>
      <c r="F54" t="str">
        <f ca="1">IF(E54="","",_xll.RiskNormal($B$1,$B$2,_xll.RiskTruncate($B$8,$B$9)))</f>
        <v/>
      </c>
      <c r="G54" t="str">
        <f ca="1">IF(F54="","",$B$6+C54*$B$5-SUM($F$2:F54))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IF(SUM($D$2:D54)&gt;$B$4,"",D54+_xll.RiskExpon($B$3))</f>
        <v/>
      </c>
      <c r="E55" t="str">
        <f t="shared" ca="1" si="0"/>
        <v/>
      </c>
      <c r="F55" t="str">
        <f ca="1">IF(E55="","",_xll.RiskNormal($B$1,$B$2,_xll.RiskTruncate($B$8,$B$9)))</f>
        <v/>
      </c>
      <c r="G55" t="str">
        <f ca="1">IF(F55="","",$B$6+C55*$B$5-SUM($F$2:F55))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IF(SUM($D$2:D55)&gt;$B$4,"",D55+_xll.RiskExpon($B$3))</f>
        <v/>
      </c>
      <c r="E56" t="str">
        <f t="shared" ca="1" si="0"/>
        <v/>
      </c>
      <c r="F56" t="str">
        <f ca="1">IF(E56="","",_xll.RiskNormal($B$1,$B$2,_xll.RiskTruncate($B$8,$B$9)))</f>
        <v/>
      </c>
      <c r="G56" t="str">
        <f ca="1">IF(F56="","",$B$6+C56*$B$5-SUM($F$2:F56))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IF(SUM($D$2:D56)&gt;$B$4,"",D56+_xll.RiskExpon($B$3))</f>
        <v/>
      </c>
      <c r="E57" t="str">
        <f t="shared" ca="1" si="0"/>
        <v/>
      </c>
      <c r="F57" t="str">
        <f ca="1">IF(E57="","",_xll.RiskNormal($B$1,$B$2,_xll.RiskTruncate($B$8,$B$9)))</f>
        <v/>
      </c>
      <c r="G57" t="str">
        <f ca="1">IF(F57="","",$B$6+C57*$B$5-SUM($F$2:F57))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IF(SUM($D$2:D57)&gt;$B$4,"",D57+_xll.RiskExpon($B$3))</f>
        <v/>
      </c>
      <c r="E58" t="str">
        <f t="shared" ca="1" si="0"/>
        <v/>
      </c>
      <c r="F58" t="str">
        <f ca="1">IF(E58="","",_xll.RiskNormal($B$1,$B$2,_xll.RiskTruncate($B$8,$B$9)))</f>
        <v/>
      </c>
      <c r="G58" t="str">
        <f ca="1">IF(F58="","",$B$6+C58*$B$5-SUM($F$2:F58))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IF(SUM($D$2:D58)&gt;$B$4,"",D58+_xll.RiskExpon($B$3))</f>
        <v/>
      </c>
      <c r="E59" t="str">
        <f t="shared" ca="1" si="0"/>
        <v/>
      </c>
      <c r="F59" t="str">
        <f ca="1">IF(E59="","",_xll.RiskNormal($B$1,$B$2,_xll.RiskTruncate($B$8,$B$9)))</f>
        <v/>
      </c>
      <c r="G59" t="str">
        <f ca="1">IF(F59="","",$B$6+C59*$B$5-SUM($F$2:F59))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IF(SUM($D$2:D59)&gt;$B$4,"",D59+_xll.RiskExpon($B$3))</f>
        <v/>
      </c>
      <c r="E60" t="str">
        <f t="shared" ca="1" si="0"/>
        <v/>
      </c>
      <c r="F60" t="str">
        <f ca="1">IF(E60="","",_xll.RiskNormal($B$1,$B$2,_xll.RiskTruncate($B$8,$B$9)))</f>
        <v/>
      </c>
      <c r="G60" t="str">
        <f ca="1">IF(F60="","",$B$6+C60*$B$5-SUM($F$2:F60))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IF(SUM($D$2:D60)&gt;$B$4,"",D60+_xll.RiskExpon($B$3))</f>
        <v/>
      </c>
      <c r="E61" t="str">
        <f t="shared" ca="1" si="0"/>
        <v/>
      </c>
      <c r="F61" t="str">
        <f ca="1">IF(E61="","",_xll.RiskNormal($B$1,$B$2,_xll.RiskTruncate($B$8,$B$9)))</f>
        <v/>
      </c>
      <c r="G61" t="str">
        <f ca="1">IF(F61="","",$B$6+C61*$B$5-SUM($F$2:F61))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IF(SUM($D$2:D61)&gt;$B$4,"",D61+_xll.RiskExpon($B$3))</f>
        <v/>
      </c>
      <c r="E62" t="str">
        <f t="shared" ca="1" si="0"/>
        <v/>
      </c>
      <c r="F62" t="str">
        <f ca="1">IF(E62="","",_xll.RiskNormal($B$1,$B$2,_xll.RiskTruncate($B$8,$B$9)))</f>
        <v/>
      </c>
      <c r="G62" t="str">
        <f ca="1">IF(F62="","",$B$6+C62*$B$5-SUM($F$2:F62))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IF(SUM($D$2:D62)&gt;$B$4,"",D62+_xll.RiskExpon($B$3))</f>
        <v/>
      </c>
      <c r="E63" t="str">
        <f t="shared" ca="1" si="0"/>
        <v/>
      </c>
      <c r="F63" t="str">
        <f ca="1">IF(E63="","",_xll.RiskNormal($B$1,$B$2,_xll.RiskTruncate($B$8,$B$9)))</f>
        <v/>
      </c>
      <c r="G63" t="str">
        <f ca="1">IF(F63="","",$B$6+C63*$B$5-SUM($F$2:F63))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IF(SUM($D$2:D63)&gt;$B$4,"",D63+_xll.RiskExpon($B$3))</f>
        <v/>
      </c>
      <c r="E64" t="str">
        <f t="shared" ca="1" si="0"/>
        <v/>
      </c>
      <c r="F64" t="str">
        <f ca="1">IF(E64="","",_xll.RiskNormal($B$1,$B$2,_xll.RiskTruncate($B$8,$B$9)))</f>
        <v/>
      </c>
      <c r="G64" t="str">
        <f ca="1">IF(F64="","",$B$6+C64*$B$5-SUM($F$2:F64))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IF(SUM($D$2:D64)&gt;$B$4,"",D64+_xll.RiskExpon($B$3))</f>
        <v/>
      </c>
      <c r="E65" t="str">
        <f t="shared" ca="1" si="0"/>
        <v/>
      </c>
      <c r="F65" t="str">
        <f ca="1">IF(E65="","",_xll.RiskNormal($B$1,$B$2,_xll.RiskTruncate($B$8,$B$9)))</f>
        <v/>
      </c>
      <c r="G65" t="str">
        <f ca="1">IF(F65="","",$B$6+C65*$B$5-SUM($F$2:F65))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IF(SUM($D$2:D65)&gt;$B$4,"",D65+_xll.RiskExpon($B$3))</f>
        <v/>
      </c>
      <c r="E66" t="str">
        <f t="shared" ca="1" si="0"/>
        <v/>
      </c>
      <c r="F66" t="str">
        <f ca="1">IF(E66="","",_xll.RiskNormal($B$1,$B$2,_xll.RiskTruncate($B$8,$B$9)))</f>
        <v/>
      </c>
      <c r="G66" t="str">
        <f ca="1">IF(F66="","",$B$6+C66*$B$5-SUM($F$2:F66))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IF(SUM($D$2:D66)&gt;$B$4,"",D66+_xll.RiskExpon($B$3))</f>
        <v/>
      </c>
      <c r="E67" t="str">
        <f t="shared" ca="1" si="0"/>
        <v/>
      </c>
      <c r="F67" t="str">
        <f ca="1">IF(E67="","",_xll.RiskNormal($B$1,$B$2,_xll.RiskTruncate($B$8,$B$9)))</f>
        <v/>
      </c>
      <c r="G67" t="str">
        <f ca="1">IF(F67="","",$B$6+C67*$B$5-SUM($F$2:F67))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IF(SUM($D$2:D67)&gt;$B$4,"",D67+_xll.RiskExpon($B$3))</f>
        <v/>
      </c>
      <c r="E68" t="str">
        <f t="shared" ref="E68:E131" ca="1" si="1">IF(E67&lt;$B$7,E67+1,"")</f>
        <v/>
      </c>
      <c r="F68" t="str">
        <f ca="1">IF(E68="","",_xll.RiskNormal($B$1,$B$2,_xll.RiskTruncate($B$8,$B$9)))</f>
        <v/>
      </c>
      <c r="G68" t="str">
        <f ca="1">IF(F68="","",$B$6+C68*$B$5-SUM($F$2:F68))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IF(SUM($D$2:D68)&gt;$B$4,"",D68+_xll.RiskExpon($B$3))</f>
        <v/>
      </c>
      <c r="E69" t="str">
        <f t="shared" ca="1" si="1"/>
        <v/>
      </c>
      <c r="F69" t="str">
        <f ca="1">IF(E69="","",_xll.RiskNormal($B$1,$B$2,_xll.RiskTruncate($B$8,$B$9)))</f>
        <v/>
      </c>
      <c r="G69" t="str">
        <f ca="1">IF(F69="","",$B$6+C69*$B$5-SUM($F$2:F69))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IF(SUM($D$2:D69)&gt;$B$4,"",D69+_xll.RiskExpon($B$3))</f>
        <v/>
      </c>
      <c r="E70" t="str">
        <f t="shared" ca="1" si="1"/>
        <v/>
      </c>
      <c r="F70" t="str">
        <f ca="1">IF(E70="","",_xll.RiskNormal($B$1,$B$2,_xll.RiskTruncate($B$8,$B$9)))</f>
        <v/>
      </c>
      <c r="G70" t="str">
        <f ca="1">IF(F70="","",$B$6+C70*$B$5-SUM($F$2:F70))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IF(SUM($D$2:D70)&gt;$B$4,"",D70+_xll.RiskExpon($B$3))</f>
        <v/>
      </c>
      <c r="E71" t="str">
        <f t="shared" ca="1" si="1"/>
        <v/>
      </c>
      <c r="F71" t="str">
        <f ca="1">IF(E71="","",_xll.RiskNormal($B$1,$B$2,_xll.RiskTruncate($B$8,$B$9)))</f>
        <v/>
      </c>
      <c r="G71" t="str">
        <f ca="1">IF(F71="","",$B$6+C71*$B$5-SUM($F$2:F71))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IF(SUM($D$2:D71)&gt;$B$4,"",D71+_xll.RiskExpon($B$3))</f>
        <v/>
      </c>
      <c r="E72" t="str">
        <f t="shared" ca="1" si="1"/>
        <v/>
      </c>
      <c r="F72" t="str">
        <f ca="1">IF(E72="","",_xll.RiskNormal($B$1,$B$2,_xll.RiskTruncate($B$8,$B$9)))</f>
        <v/>
      </c>
      <c r="G72" t="str">
        <f ca="1">IF(F72="","",$B$6+C72*$B$5-SUM($F$2:F72))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IF(SUM($D$2:D72)&gt;$B$4,"",D72+_xll.RiskExpon($B$3))</f>
        <v/>
      </c>
      <c r="E73" t="str">
        <f t="shared" ca="1" si="1"/>
        <v/>
      </c>
      <c r="F73" t="str">
        <f ca="1">IF(E73="","",_xll.RiskNormal($B$1,$B$2,_xll.RiskTruncate($B$8,$B$9)))</f>
        <v/>
      </c>
      <c r="G73" t="str">
        <f ca="1">IF(F73="","",$B$6+C73*$B$5-SUM($F$2:F73))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IF(SUM($D$2:D73)&gt;$B$4,"",D73+_xll.RiskExpon($B$3))</f>
        <v/>
      </c>
      <c r="E74" t="str">
        <f t="shared" ca="1" si="1"/>
        <v/>
      </c>
      <c r="F74" t="str">
        <f ca="1">IF(E74="","",_xll.RiskNormal($B$1,$B$2,_xll.RiskTruncate($B$8,$B$9)))</f>
        <v/>
      </c>
      <c r="G74" t="str">
        <f ca="1">IF(F74="","",$B$6+C74*$B$5-SUM($F$2:F74))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IF(SUM($D$2:D74)&gt;$B$4,"",D74+_xll.RiskExpon($B$3))</f>
        <v/>
      </c>
      <c r="E75" t="str">
        <f t="shared" ca="1" si="1"/>
        <v/>
      </c>
      <c r="F75" t="str">
        <f ca="1">IF(E75="","",_xll.RiskNormal($B$1,$B$2,_xll.RiskTruncate($B$8,$B$9)))</f>
        <v/>
      </c>
      <c r="G75" t="str">
        <f ca="1">IF(F75="","",$B$6+C75*$B$5-SUM($F$2:F75))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IF(SUM($D$2:D75)&gt;$B$4,"",D75+_xll.RiskExpon($B$3))</f>
        <v/>
      </c>
      <c r="E76" t="str">
        <f t="shared" ca="1" si="1"/>
        <v/>
      </c>
      <c r="F76" t="str">
        <f ca="1">IF(E76="","",_xll.RiskNormal($B$1,$B$2,_xll.RiskTruncate($B$8,$B$9)))</f>
        <v/>
      </c>
      <c r="G76" t="str">
        <f ca="1">IF(F76="","",$B$6+C76*$B$5-SUM($F$2:F76))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IF(SUM($D$2:D76)&gt;$B$4,"",D76+_xll.RiskExpon($B$3))</f>
        <v/>
      </c>
      <c r="E77" t="str">
        <f t="shared" ca="1" si="1"/>
        <v/>
      </c>
      <c r="F77" t="str">
        <f ca="1">IF(E77="","",_xll.RiskNormal($B$1,$B$2,_xll.RiskTruncate($B$8,$B$9)))</f>
        <v/>
      </c>
      <c r="G77" t="str">
        <f ca="1">IF(F77="","",$B$6+C77*$B$5-SUM($F$2:F77))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IF(SUM($D$2:D77)&gt;$B$4,"",D77+_xll.RiskExpon($B$3))</f>
        <v/>
      </c>
      <c r="E78" t="str">
        <f t="shared" ca="1" si="1"/>
        <v/>
      </c>
      <c r="F78" t="str">
        <f ca="1">IF(E78="","",_xll.RiskNormal($B$1,$B$2,_xll.RiskTruncate($B$8,$B$9)))</f>
        <v/>
      </c>
      <c r="G78" t="str">
        <f ca="1">IF(F78="","",$B$6+C78*$B$5-SUM($F$2:F78))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IF(SUM($D$2:D78)&gt;$B$4,"",D78+_xll.RiskExpon($B$3))</f>
        <v/>
      </c>
      <c r="E79" t="str">
        <f t="shared" ca="1" si="1"/>
        <v/>
      </c>
      <c r="F79" t="str">
        <f ca="1">IF(E79="","",_xll.RiskNormal($B$1,$B$2,_xll.RiskTruncate($B$8,$B$9)))</f>
        <v/>
      </c>
      <c r="G79" t="str">
        <f ca="1">IF(F79="","",$B$6+C79*$B$5-SUM($F$2:F79))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IF(SUM($D$2:D79)&gt;$B$4,"",D79+_xll.RiskExpon($B$3))</f>
        <v/>
      </c>
      <c r="E80" t="str">
        <f t="shared" ca="1" si="1"/>
        <v/>
      </c>
      <c r="F80" t="str">
        <f ca="1">IF(E80="","",_xll.RiskNormal($B$1,$B$2,_xll.RiskTruncate($B$8,$B$9)))</f>
        <v/>
      </c>
      <c r="G80" t="str">
        <f ca="1">IF(F80="","",$B$6+C80*$B$5-SUM($F$2:F80))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IF(SUM($D$2:D80)&gt;$B$4,"",D80+_xll.RiskExpon($B$3))</f>
        <v/>
      </c>
      <c r="E81" t="str">
        <f t="shared" ca="1" si="1"/>
        <v/>
      </c>
      <c r="F81" t="str">
        <f ca="1">IF(E81="","",_xll.RiskNormal($B$1,$B$2,_xll.RiskTruncate($B$8,$B$9)))</f>
        <v/>
      </c>
      <c r="G81" t="str">
        <f ca="1">IF(F81="","",$B$6+C81*$B$5-SUM($F$2:F81))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IF(SUM($D$2:D81)&gt;$B$4,"",D81+_xll.RiskExpon($B$3))</f>
        <v/>
      </c>
      <c r="E82" t="str">
        <f t="shared" ca="1" si="1"/>
        <v/>
      </c>
      <c r="F82" t="str">
        <f ca="1">IF(E82="","",_xll.RiskNormal($B$1,$B$2,_xll.RiskTruncate($B$8,$B$9)))</f>
        <v/>
      </c>
      <c r="G82" t="str">
        <f ca="1">IF(F82="","",$B$6+C82*$B$5-SUM($F$2:F82))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IF(SUM($D$2:D82)&gt;$B$4,"",D82+_xll.RiskExpon($B$3))</f>
        <v/>
      </c>
      <c r="E83" t="str">
        <f t="shared" ca="1" si="1"/>
        <v/>
      </c>
      <c r="F83" t="str">
        <f ca="1">IF(E83="","",_xll.RiskNormal($B$1,$B$2,_xll.RiskTruncate($B$8,$B$9)))</f>
        <v/>
      </c>
      <c r="G83" t="str">
        <f ca="1">IF(F83="","",$B$6+C83*$B$5-SUM($F$2:F83))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IF(SUM($D$2:D83)&gt;$B$4,"",D83+_xll.RiskExpon($B$3))</f>
        <v/>
      </c>
      <c r="E84" t="str">
        <f t="shared" ca="1" si="1"/>
        <v/>
      </c>
      <c r="F84" t="str">
        <f ca="1">IF(E84="","",_xll.RiskNormal($B$1,$B$2,_xll.RiskTruncate($B$8,$B$9)))</f>
        <v/>
      </c>
      <c r="G84" t="str">
        <f ca="1">IF(F84="","",$B$6+C84*$B$5-SUM($F$2:F84))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IF(SUM($D$2:D84)&gt;$B$4,"",D84+_xll.RiskExpon($B$3))</f>
        <v/>
      </c>
      <c r="E85" t="str">
        <f t="shared" ca="1" si="1"/>
        <v/>
      </c>
      <c r="F85" t="str">
        <f ca="1">IF(E85="","",_xll.RiskNormal($B$1,$B$2,_xll.RiskTruncate($B$8,$B$9)))</f>
        <v/>
      </c>
      <c r="G85" t="str">
        <f ca="1">IF(F85="","",$B$6+C85*$B$5-SUM($F$2:F85))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IF(SUM($D$2:D85)&gt;$B$4,"",D85+_xll.RiskExpon($B$3))</f>
        <v/>
      </c>
      <c r="E86" t="str">
        <f t="shared" ca="1" si="1"/>
        <v/>
      </c>
      <c r="F86" t="str">
        <f ca="1">IF(E86="","",_xll.RiskNormal($B$1,$B$2,_xll.RiskTruncate($B$8,$B$9)))</f>
        <v/>
      </c>
      <c r="G86" t="str">
        <f ca="1">IF(F86="","",$B$6+C86*$B$5-SUM($F$2:F86))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IF(SUM($D$2:D86)&gt;$B$4,"",D86+_xll.RiskExpon($B$3))</f>
        <v/>
      </c>
      <c r="E87" t="str">
        <f t="shared" ca="1" si="1"/>
        <v/>
      </c>
      <c r="F87" t="str">
        <f ca="1">IF(E87="","",_xll.RiskNormal($B$1,$B$2,_xll.RiskTruncate($B$8,$B$9)))</f>
        <v/>
      </c>
      <c r="G87" t="str">
        <f ca="1">IF(F87="","",$B$6+C87*$B$5-SUM($F$2:F87))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IF(SUM($D$2:D87)&gt;$B$4,"",D87+_xll.RiskExpon($B$3))</f>
        <v/>
      </c>
      <c r="E88" t="str">
        <f t="shared" ca="1" si="1"/>
        <v/>
      </c>
      <c r="F88" t="str">
        <f ca="1">IF(E88="","",_xll.RiskNormal($B$1,$B$2,_xll.RiskTruncate($B$8,$B$9)))</f>
        <v/>
      </c>
      <c r="G88" t="str">
        <f ca="1">IF(F88="","",$B$6+C88*$B$5-SUM($F$2:F88))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IF(SUM($D$2:D88)&gt;$B$4,"",D88+_xll.RiskExpon($B$3))</f>
        <v/>
      </c>
      <c r="E89" t="str">
        <f t="shared" ca="1" si="1"/>
        <v/>
      </c>
      <c r="F89" t="str">
        <f ca="1">IF(E89="","",_xll.RiskNormal($B$1,$B$2,_xll.RiskTruncate($B$8,$B$9)))</f>
        <v/>
      </c>
      <c r="G89" t="str">
        <f ca="1">IF(F89="","",$B$6+C89*$B$5-SUM($F$2:F89))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IF(SUM($D$2:D89)&gt;$B$4,"",D89+_xll.RiskExpon($B$3))</f>
        <v/>
      </c>
      <c r="E90" t="str">
        <f t="shared" ca="1" si="1"/>
        <v/>
      </c>
      <c r="F90" t="str">
        <f ca="1">IF(E90="","",_xll.RiskNormal($B$1,$B$2,_xll.RiskTruncate($B$8,$B$9)))</f>
        <v/>
      </c>
      <c r="G90" t="str">
        <f ca="1">IF(F90="","",$B$6+C90*$B$5-SUM($F$2:F90))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IF(SUM($D$2:D90)&gt;$B$4,"",D90+_xll.RiskExpon($B$3))</f>
        <v/>
      </c>
      <c r="E91" t="str">
        <f t="shared" ca="1" si="1"/>
        <v/>
      </c>
      <c r="F91" t="str">
        <f ca="1">IF(E91="","",_xll.RiskNormal($B$1,$B$2,_xll.RiskTruncate($B$8,$B$9)))</f>
        <v/>
      </c>
      <c r="G91" t="str">
        <f ca="1">IF(F91="","",$B$6+C91*$B$5-SUM($F$2:F91))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IF(SUM($D$2:D91)&gt;$B$4,"",D91+_xll.RiskExpon($B$3))</f>
        <v/>
      </c>
      <c r="E92" t="str">
        <f t="shared" ca="1" si="1"/>
        <v/>
      </c>
      <c r="F92" t="str">
        <f ca="1">IF(E92="","",_xll.RiskNormal($B$1,$B$2,_xll.RiskTruncate($B$8,$B$9)))</f>
        <v/>
      </c>
      <c r="G92" t="str">
        <f ca="1">IF(F92="","",$B$6+C92*$B$5-SUM($F$2:F92))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IF(SUM($D$2:D92)&gt;$B$4,"",D92+_xll.RiskExpon($B$3))</f>
        <v/>
      </c>
      <c r="E93" t="str">
        <f t="shared" ca="1" si="1"/>
        <v/>
      </c>
      <c r="F93" t="str">
        <f ca="1">IF(E93="","",_xll.RiskNormal($B$1,$B$2,_xll.RiskTruncate($B$8,$B$9)))</f>
        <v/>
      </c>
      <c r="G93" t="str">
        <f ca="1">IF(F93="","",$B$6+C93*$B$5-SUM($F$2:F93))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IF(SUM($D$2:D93)&gt;$B$4,"",D93+_xll.RiskExpon($B$3))</f>
        <v/>
      </c>
      <c r="E94" t="str">
        <f t="shared" ca="1" si="1"/>
        <v/>
      </c>
      <c r="F94" t="str">
        <f ca="1">IF(E94="","",_xll.RiskNormal($B$1,$B$2,_xll.RiskTruncate($B$8,$B$9)))</f>
        <v/>
      </c>
      <c r="G94" t="str">
        <f ca="1">IF(F94="","",$B$6+C94*$B$5-SUM($F$2:F94))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IF(SUM($D$2:D94)&gt;$B$4,"",D94+_xll.RiskExpon($B$3))</f>
        <v/>
      </c>
      <c r="E95" t="str">
        <f t="shared" ca="1" si="1"/>
        <v/>
      </c>
      <c r="F95" t="str">
        <f ca="1">IF(E95="","",_xll.RiskNormal($B$1,$B$2,_xll.RiskTruncate($B$8,$B$9)))</f>
        <v/>
      </c>
      <c r="G95" t="str">
        <f ca="1">IF(F95="","",$B$6+C95*$B$5-SUM($F$2:F95))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IF(SUM($D$2:D95)&gt;$B$4,"",D95+_xll.RiskExpon($B$3))</f>
        <v/>
      </c>
      <c r="E96" t="str">
        <f t="shared" ca="1" si="1"/>
        <v/>
      </c>
      <c r="F96" t="str">
        <f ca="1">IF(E96="","",_xll.RiskNormal($B$1,$B$2,_xll.RiskTruncate($B$8,$B$9)))</f>
        <v/>
      </c>
      <c r="G96" t="str">
        <f ca="1">IF(F96="","",$B$6+C96*$B$5-SUM($F$2:F96))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IF(SUM($D$2:D96)&gt;$B$4,"",D96+_xll.RiskExpon($B$3))</f>
        <v/>
      </c>
      <c r="E97" t="str">
        <f t="shared" ca="1" si="1"/>
        <v/>
      </c>
      <c r="F97" t="str">
        <f ca="1">IF(E97="","",_xll.RiskNormal($B$1,$B$2,_xll.RiskTruncate($B$8,$B$9)))</f>
        <v/>
      </c>
      <c r="G97" t="str">
        <f ca="1">IF(F97="","",$B$6+C97*$B$5-SUM($F$2:F97))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IF(SUM($D$2:D97)&gt;$B$4,"",D97+_xll.RiskExpon($B$3))</f>
        <v/>
      </c>
      <c r="E98" t="str">
        <f t="shared" ca="1" si="1"/>
        <v/>
      </c>
      <c r="F98" t="str">
        <f ca="1">IF(E98="","",_xll.RiskNormal($B$1,$B$2,_xll.RiskTruncate($B$8,$B$9)))</f>
        <v/>
      </c>
      <c r="G98" t="str">
        <f ca="1">IF(F98="","",$B$6+C98*$B$5-SUM($F$2:F98))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IF(SUM($D$2:D98)&gt;$B$4,"",D98+_xll.RiskExpon($B$3))</f>
        <v/>
      </c>
      <c r="E99" t="str">
        <f t="shared" ca="1" si="1"/>
        <v/>
      </c>
      <c r="F99" t="str">
        <f ca="1">IF(E99="","",_xll.RiskNormal($B$1,$B$2,_xll.RiskTruncate($B$8,$B$9)))</f>
        <v/>
      </c>
      <c r="G99" t="str">
        <f ca="1">IF(F99="","",$B$6+C99*$B$5-SUM($F$2:F99))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IF(SUM($D$2:D99)&gt;$B$4,"",D99+_xll.RiskExpon($B$3))</f>
        <v/>
      </c>
      <c r="E100" t="str">
        <f t="shared" ca="1" si="1"/>
        <v/>
      </c>
      <c r="F100" t="str">
        <f ca="1">IF(E100="","",_xll.RiskNormal($B$1,$B$2,_xll.RiskTruncate($B$8,$B$9)))</f>
        <v/>
      </c>
      <c r="G100" t="str">
        <f ca="1">IF(F100="","",$B$6+C100*$B$5-SUM($F$2:F100))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IF(SUM($D$2:D100)&gt;$B$4,"",D100+_xll.RiskExpon($B$3))</f>
        <v/>
      </c>
      <c r="E101" t="str">
        <f t="shared" ca="1" si="1"/>
        <v/>
      </c>
      <c r="F101" t="str">
        <f ca="1">IF(E101="","",_xll.RiskNormal($B$1,$B$2,_xll.RiskTruncate($B$8,$B$9)))</f>
        <v/>
      </c>
      <c r="G101" t="str">
        <f ca="1">IF(F101="","",$B$6+C101*$B$5-SUM($F$2:F101))</f>
        <v/>
      </c>
    </row>
    <row r="102" spans="3:7" x14ac:dyDescent="0.25">
      <c r="D102" t="str">
        <f ca="1">IF(SUM($D$2:D101)&gt;$B$4,"",D101+_xll.RiskExpon($B$3))</f>
        <v/>
      </c>
      <c r="E102" t="str">
        <f t="shared" ca="1" si="1"/>
        <v/>
      </c>
      <c r="F102" t="str">
        <f ca="1">IF(E102="","",_xll.RiskNormal($B$1,$B$2,_xll.RiskTruncate($B$8,$B$9)))</f>
        <v/>
      </c>
      <c r="G102" t="str">
        <f ca="1">IF(F102="","",$B$6+C102*$B$5-SUM($F$2:F102))</f>
        <v/>
      </c>
    </row>
    <row r="103" spans="3:7" x14ac:dyDescent="0.25">
      <c r="D103" t="str">
        <f ca="1">IF(SUM($D$2:D102)&gt;$B$4,"",D102+_xll.RiskExpon($B$3))</f>
        <v/>
      </c>
      <c r="E103" t="str">
        <f t="shared" ca="1" si="1"/>
        <v/>
      </c>
      <c r="F103" t="str">
        <f ca="1">IF(E103="","",_xll.RiskNormal($B$1,$B$2,_xll.RiskTruncate($B$8,$B$9)))</f>
        <v/>
      </c>
      <c r="G103" t="str">
        <f ca="1">IF(F103="","",$B$6+C103*$B$5-SUM($F$2:F103))</f>
        <v/>
      </c>
    </row>
    <row r="104" spans="3:7" x14ac:dyDescent="0.25">
      <c r="D104" t="str">
        <f ca="1">IF(SUM($D$2:D103)&gt;$B$4,"",D103+_xll.RiskExpon($B$3))</f>
        <v/>
      </c>
      <c r="E104" t="str">
        <f t="shared" ca="1" si="1"/>
        <v/>
      </c>
      <c r="F104" t="str">
        <f ca="1">IF(E104="","",_xll.RiskNormal($B$1,$B$2,_xll.RiskTruncate($B$8,$B$9)))</f>
        <v/>
      </c>
      <c r="G104" t="str">
        <f ca="1">IF(F104="","",$B$6+C104*$B$5-SUM($F$2:F104))</f>
        <v/>
      </c>
    </row>
    <row r="105" spans="3:7" x14ac:dyDescent="0.25">
      <c r="D105" t="str">
        <f ca="1">IF(SUM($D$2:D104)&gt;$B$4,"",D104+_xll.RiskExpon($B$3))</f>
        <v/>
      </c>
      <c r="E105" t="str">
        <f t="shared" ca="1" si="1"/>
        <v/>
      </c>
      <c r="F105" t="str">
        <f ca="1">IF(E105="","",_xll.RiskNormal($B$1,$B$2,_xll.RiskTruncate($B$8,$B$9)))</f>
        <v/>
      </c>
      <c r="G105" t="str">
        <f ca="1">IF(F105="","",$B$6+C105*$B$5-SUM($F$2:F105))</f>
        <v/>
      </c>
    </row>
    <row r="106" spans="3:7" x14ac:dyDescent="0.25">
      <c r="D106" t="str">
        <f ca="1">IF(SUM($D$2:D105)&gt;$B$4,"",D105+_xll.RiskExpon($B$3))</f>
        <v/>
      </c>
      <c r="E106" t="str">
        <f t="shared" ca="1" si="1"/>
        <v/>
      </c>
      <c r="F106" t="str">
        <f ca="1">IF(E106="","",_xll.RiskNormal($B$1,$B$2,_xll.RiskTruncate($B$8,$B$9)))</f>
        <v/>
      </c>
      <c r="G106" t="str">
        <f ca="1">IF(F106="","",$B$6+C106*$B$5-SUM($F$2:F106))</f>
        <v/>
      </c>
    </row>
    <row r="107" spans="3:7" x14ac:dyDescent="0.25">
      <c r="D107" t="str">
        <f ca="1">IF(SUM($D$2:D106)&gt;$B$4,"",D106+_xll.RiskExpon($B$3))</f>
        <v/>
      </c>
      <c r="E107" t="str">
        <f t="shared" ca="1" si="1"/>
        <v/>
      </c>
      <c r="F107" t="str">
        <f ca="1">IF(E107="","",_xll.RiskNormal($B$1,$B$2,_xll.RiskTruncate($B$8,$B$9)))</f>
        <v/>
      </c>
      <c r="G107" t="str">
        <f ca="1">IF(F107="","",$B$6+C107*$B$5-SUM($F$2:F107))</f>
        <v/>
      </c>
    </row>
    <row r="108" spans="3:7" x14ac:dyDescent="0.25">
      <c r="D108" t="str">
        <f ca="1">IF(SUM($D$2:D107)&gt;$B$4,"",D107+_xll.RiskExpon($B$3))</f>
        <v/>
      </c>
      <c r="E108" t="str">
        <f t="shared" ca="1" si="1"/>
        <v/>
      </c>
      <c r="F108" t="str">
        <f ca="1">IF(E108="","",_xll.RiskNormal($B$1,$B$2,_xll.RiskTruncate($B$8,$B$9)))</f>
        <v/>
      </c>
      <c r="G108" t="str">
        <f ca="1">IF(F108="","",$B$6+C108*$B$5-SUM($F$2:F108))</f>
        <v/>
      </c>
    </row>
    <row r="109" spans="3:7" x14ac:dyDescent="0.25">
      <c r="D109" t="str">
        <f ca="1">IF(SUM($D$2:D108)&gt;$B$4,"",D108+_xll.RiskExpon($B$3))</f>
        <v/>
      </c>
      <c r="E109" t="str">
        <f t="shared" ca="1" si="1"/>
        <v/>
      </c>
      <c r="F109" t="str">
        <f ca="1">IF(E109="","",_xll.RiskNormal($B$1,$B$2,_xll.RiskTruncate($B$8,$B$9)))</f>
        <v/>
      </c>
      <c r="G109" t="str">
        <f ca="1">IF(F109="","",$B$6+C109*$B$5-SUM($F$2:F109))</f>
        <v/>
      </c>
    </row>
    <row r="110" spans="3:7" x14ac:dyDescent="0.25">
      <c r="D110" t="str">
        <f ca="1">IF(SUM($D$2:D109)&gt;$B$4,"",D109+_xll.RiskExpon($B$3))</f>
        <v/>
      </c>
      <c r="E110" t="str">
        <f t="shared" ca="1" si="1"/>
        <v/>
      </c>
      <c r="F110" t="str">
        <f ca="1">IF(E110="","",_xll.RiskNormal($B$1,$B$2,_xll.RiskTruncate($B$8,$B$9)))</f>
        <v/>
      </c>
      <c r="G110" t="str">
        <f ca="1">IF(F110="","",$B$6+C110*$B$5-SUM($F$2:F110))</f>
        <v/>
      </c>
    </row>
    <row r="111" spans="3:7" x14ac:dyDescent="0.25">
      <c r="D111" t="str">
        <f ca="1">IF(SUM($D$2:D110)&gt;$B$4,"",D110+_xll.RiskExpon($B$3))</f>
        <v/>
      </c>
      <c r="E111" t="str">
        <f t="shared" ca="1" si="1"/>
        <v/>
      </c>
      <c r="F111" t="str">
        <f ca="1">IF(E111="","",_xll.RiskNormal($B$1,$B$2,_xll.RiskTruncate($B$8,$B$9)))</f>
        <v/>
      </c>
      <c r="G111" t="str">
        <f ca="1">IF(F111="","",$B$6+C111*$B$5-SUM($F$2:F111))</f>
        <v/>
      </c>
    </row>
    <row r="112" spans="3:7" x14ac:dyDescent="0.25">
      <c r="D112" t="str">
        <f ca="1">IF(SUM($D$2:D111)&gt;$B$4,"",D111+_xll.RiskExpon($B$3))</f>
        <v/>
      </c>
      <c r="E112" t="str">
        <f t="shared" ca="1" si="1"/>
        <v/>
      </c>
      <c r="F112" t="str">
        <f ca="1">IF(E112="","",_xll.RiskNormal($B$1,$B$2,_xll.RiskTruncate($B$8,$B$9)))</f>
        <v/>
      </c>
      <c r="G112" t="str">
        <f ca="1">IF(F112="","",$B$6+C112*$B$5-SUM($F$2:F112))</f>
        <v/>
      </c>
    </row>
    <row r="113" spans="4:7" x14ac:dyDescent="0.25">
      <c r="D113" t="str">
        <f ca="1">IF(SUM($D$2:D112)&gt;$B$4,"",D112+_xll.RiskExpon($B$3))</f>
        <v/>
      </c>
      <c r="E113" t="str">
        <f t="shared" ca="1" si="1"/>
        <v/>
      </c>
      <c r="F113" t="str">
        <f ca="1">IF(E113="","",_xll.RiskNormal($B$1,$B$2,_xll.RiskTruncate($B$8,$B$9)))</f>
        <v/>
      </c>
      <c r="G113" t="str">
        <f ca="1">IF(F113="","",$B$6+C113*$B$5-SUM($F$2:F113))</f>
        <v/>
      </c>
    </row>
    <row r="114" spans="4:7" x14ac:dyDescent="0.25">
      <c r="D114" t="str">
        <f ca="1">IF(SUM($D$2:D113)&gt;$B$4,"",D113+_xll.RiskExpon($B$3))</f>
        <v/>
      </c>
      <c r="E114" t="str">
        <f t="shared" ca="1" si="1"/>
        <v/>
      </c>
      <c r="F114" t="str">
        <f ca="1">IF(E114="","",_xll.RiskNormal($B$1,$B$2,_xll.RiskTruncate($B$8,$B$9)))</f>
        <v/>
      </c>
      <c r="G114" t="str">
        <f ca="1">IF(F114="","",$B$6+C114*$B$5-SUM($F$2:F114))</f>
        <v/>
      </c>
    </row>
    <row r="115" spans="4:7" x14ac:dyDescent="0.25">
      <c r="D115" t="str">
        <f ca="1">IF(SUM($D$2:D114)&gt;$B$4,"",D114+_xll.RiskExpon($B$3))</f>
        <v/>
      </c>
      <c r="E115" t="str">
        <f t="shared" ca="1" si="1"/>
        <v/>
      </c>
      <c r="F115" t="str">
        <f ca="1">IF(E115="","",_xll.RiskNormal($B$1,$B$2,_xll.RiskTruncate($B$8,$B$9)))</f>
        <v/>
      </c>
      <c r="G115" t="str">
        <f ca="1">IF(F115="","",$B$6+C115*$B$5-SUM($F$2:F115))</f>
        <v/>
      </c>
    </row>
    <row r="116" spans="4:7" x14ac:dyDescent="0.25">
      <c r="D116" t="str">
        <f ca="1">IF(SUM($D$2:D115)&gt;$B$4,"",D115+_xll.RiskExpon($B$3))</f>
        <v/>
      </c>
      <c r="E116" t="str">
        <f t="shared" ca="1" si="1"/>
        <v/>
      </c>
      <c r="F116" t="str">
        <f ca="1">IF(E116="","",_xll.RiskNormal($B$1,$B$2,_xll.RiskTruncate($B$8,$B$9)))</f>
        <v/>
      </c>
      <c r="G116" t="str">
        <f ca="1">IF(F116="","",$B$6+C116*$B$5-SUM($F$2:F116))</f>
        <v/>
      </c>
    </row>
    <row r="117" spans="4:7" x14ac:dyDescent="0.25">
      <c r="D117" t="str">
        <f ca="1">IF(SUM($D$2:D116)&gt;$B$4,"",D116+_xll.RiskExpon($B$3))</f>
        <v/>
      </c>
      <c r="E117" t="str">
        <f t="shared" ca="1" si="1"/>
        <v/>
      </c>
      <c r="F117" t="str">
        <f ca="1">IF(E117="","",_xll.RiskNormal($B$1,$B$2,_xll.RiskTruncate($B$8,$B$9)))</f>
        <v/>
      </c>
      <c r="G117" t="str">
        <f ca="1">IF(F117="","",$B$6+C117*$B$5-SUM($F$2:F117))</f>
        <v/>
      </c>
    </row>
    <row r="118" spans="4:7" x14ac:dyDescent="0.25">
      <c r="D118" t="str">
        <f ca="1">IF(SUM($D$2:D117)&gt;$B$4,"",D117+_xll.RiskExpon($B$3))</f>
        <v/>
      </c>
      <c r="E118" t="str">
        <f t="shared" ca="1" si="1"/>
        <v/>
      </c>
      <c r="F118" t="str">
        <f ca="1">IF(E118="","",_xll.RiskNormal($B$1,$B$2,_xll.RiskTruncate($B$8,$B$9)))</f>
        <v/>
      </c>
      <c r="G118" t="str">
        <f ca="1">IF(F118="","",$B$6+C118*$B$5-SUM($F$2:F118))</f>
        <v/>
      </c>
    </row>
    <row r="119" spans="4:7" x14ac:dyDescent="0.25">
      <c r="D119" t="str">
        <f ca="1">IF(SUM($D$2:D118)&gt;$B$4,"",D118+_xll.RiskExpon($B$3))</f>
        <v/>
      </c>
      <c r="E119" t="str">
        <f t="shared" ca="1" si="1"/>
        <v/>
      </c>
      <c r="F119" t="str">
        <f ca="1">IF(E119="","",_xll.RiskNormal($B$1,$B$2,_xll.RiskTruncate($B$8,$B$9)))</f>
        <v/>
      </c>
      <c r="G119" t="str">
        <f ca="1">IF(F119="","",$B$6+C119*$B$5-SUM($F$2:F119))</f>
        <v/>
      </c>
    </row>
    <row r="120" spans="4:7" x14ac:dyDescent="0.25">
      <c r="D120" t="str">
        <f ca="1">IF(SUM($D$2:D119)&gt;$B$4,"",D119+_xll.RiskExpon($B$3))</f>
        <v/>
      </c>
      <c r="E120" t="str">
        <f t="shared" ca="1" si="1"/>
        <v/>
      </c>
      <c r="F120" t="str">
        <f ca="1">IF(E120="","",_xll.RiskNormal($B$1,$B$2,_xll.RiskTruncate($B$8,$B$9)))</f>
        <v/>
      </c>
      <c r="G120" t="str">
        <f ca="1">IF(F120="","",$B$6+C120*$B$5-SUM($F$2:F120))</f>
        <v/>
      </c>
    </row>
    <row r="121" spans="4:7" x14ac:dyDescent="0.25">
      <c r="D121" t="str">
        <f ca="1">IF(SUM($D$2:D120)&gt;$B$4,"",D120+_xll.RiskExpon($B$3))</f>
        <v/>
      </c>
      <c r="E121" t="str">
        <f t="shared" ca="1" si="1"/>
        <v/>
      </c>
      <c r="F121" t="str">
        <f ca="1">IF(E121="","",_xll.RiskNormal($B$1,$B$2,_xll.RiskTruncate($B$8,$B$9)))</f>
        <v/>
      </c>
      <c r="G121" t="str">
        <f ca="1">IF(F121="","",$B$6+C121*$B$5-SUM($F$2:F121))</f>
        <v/>
      </c>
    </row>
    <row r="122" spans="4:7" x14ac:dyDescent="0.25">
      <c r="D122" t="str">
        <f ca="1">IF(SUM($D$2:D121)&gt;$B$4,"",D121+_xll.RiskExpon($B$3))</f>
        <v/>
      </c>
      <c r="E122" t="str">
        <f t="shared" ca="1" si="1"/>
        <v/>
      </c>
      <c r="F122" t="str">
        <f ca="1">IF(E122="","",_xll.RiskNormal($B$1,$B$2,_xll.RiskTruncate($B$8,$B$9)))</f>
        <v/>
      </c>
      <c r="G122" t="str">
        <f ca="1">IF(F122="","",$B$6+C122*$B$5-SUM($F$2:F122))</f>
        <v/>
      </c>
    </row>
    <row r="123" spans="4:7" x14ac:dyDescent="0.25">
      <c r="D123" t="str">
        <f ca="1">IF(SUM($D$2:D122)&gt;$B$4,"",D122+_xll.RiskExpon($B$3))</f>
        <v/>
      </c>
      <c r="E123" t="str">
        <f t="shared" ca="1" si="1"/>
        <v/>
      </c>
      <c r="F123" t="str">
        <f ca="1">IF(E123="","",_xll.RiskNormal($B$1,$B$2,_xll.RiskTruncate($B$8,$B$9)))</f>
        <v/>
      </c>
      <c r="G123" t="str">
        <f ca="1">IF(F123="","",$B$6+C123*$B$5-SUM($F$2:F123))</f>
        <v/>
      </c>
    </row>
    <row r="124" spans="4:7" x14ac:dyDescent="0.25">
      <c r="D124" t="str">
        <f ca="1">IF(SUM($D$2:D123)&gt;$B$4,"",D123+_xll.RiskExpon($B$3))</f>
        <v/>
      </c>
      <c r="E124" t="str">
        <f t="shared" ca="1" si="1"/>
        <v/>
      </c>
      <c r="F124" t="str">
        <f ca="1">IF(E124="","",_xll.RiskNormal($B$1,$B$2,_xll.RiskTruncate($B$8,$B$9)))</f>
        <v/>
      </c>
      <c r="G124" t="str">
        <f ca="1">IF(F124="","",$B$6+C124*$B$5-SUM($F$2:F124))</f>
        <v/>
      </c>
    </row>
    <row r="125" spans="4:7" x14ac:dyDescent="0.25">
      <c r="D125" t="str">
        <f ca="1">IF(SUM($D$2:D124)&gt;$B$4,"",D124+_xll.RiskExpon($B$3))</f>
        <v/>
      </c>
      <c r="E125" t="str">
        <f t="shared" ca="1" si="1"/>
        <v/>
      </c>
      <c r="F125" t="str">
        <f ca="1">IF(E125="","",_xll.RiskNormal($B$1,$B$2,_xll.RiskTruncate($B$8,$B$9)))</f>
        <v/>
      </c>
      <c r="G125" t="str">
        <f ca="1">IF(F125="","",$B$6+C125*$B$5-SUM($F$2:F125))</f>
        <v/>
      </c>
    </row>
    <row r="126" spans="4:7" x14ac:dyDescent="0.25">
      <c r="D126" t="str">
        <f ca="1">IF(SUM($D$2:D125)&gt;$B$4,"",D125+_xll.RiskExpon($B$3))</f>
        <v/>
      </c>
      <c r="E126" t="str">
        <f t="shared" ca="1" si="1"/>
        <v/>
      </c>
      <c r="F126" t="str">
        <f ca="1">IF(E126="","",_xll.RiskNormal($B$1,$B$2,_xll.RiskTruncate($B$8,$B$9)))</f>
        <v/>
      </c>
      <c r="G126" t="str">
        <f ca="1">IF(F126="","",$B$6+C126*$B$5-SUM($F$2:F126))</f>
        <v/>
      </c>
    </row>
    <row r="127" spans="4:7" x14ac:dyDescent="0.25">
      <c r="D127" t="str">
        <f ca="1">IF(SUM($D$2:D126)&gt;$B$4,"",D126+_xll.RiskExpon($B$3))</f>
        <v/>
      </c>
      <c r="E127" t="str">
        <f t="shared" ca="1" si="1"/>
        <v/>
      </c>
      <c r="F127" t="str">
        <f ca="1">IF(E127="","",_xll.RiskNormal($B$1,$B$2,_xll.RiskTruncate($B$8,$B$9)))</f>
        <v/>
      </c>
      <c r="G127" t="str">
        <f ca="1">IF(F127="","",$B$6+C127*$B$5-SUM($F$2:F127))</f>
        <v/>
      </c>
    </row>
    <row r="128" spans="4:7" x14ac:dyDescent="0.25">
      <c r="D128" t="str">
        <f ca="1">IF(SUM($D$2:D127)&gt;$B$4,"",D127+_xll.RiskExpon($B$3))</f>
        <v/>
      </c>
      <c r="E128" t="str">
        <f t="shared" ca="1" si="1"/>
        <v/>
      </c>
      <c r="F128" t="str">
        <f ca="1">IF(E128="","",_xll.RiskNormal($B$1,$B$2,_xll.RiskTruncate($B$8,$B$9)))</f>
        <v/>
      </c>
      <c r="G128" t="str">
        <f ca="1">IF(F128="","",$B$6+C128*$B$5-SUM($F$2:F128))</f>
        <v/>
      </c>
    </row>
    <row r="129" spans="4:7" x14ac:dyDescent="0.25">
      <c r="D129" t="str">
        <f ca="1">IF(SUM($D$2:D128)&gt;$B$4,"",D128+_xll.RiskExpon($B$3))</f>
        <v/>
      </c>
      <c r="E129" t="str">
        <f t="shared" ca="1" si="1"/>
        <v/>
      </c>
      <c r="F129" t="str">
        <f ca="1">IF(E129="","",_xll.RiskNormal($B$1,$B$2,_xll.RiskTruncate($B$8,$B$9)))</f>
        <v/>
      </c>
      <c r="G129" t="str">
        <f ca="1">IF(F129="","",$B$6+C129*$B$5-SUM($F$2:F129))</f>
        <v/>
      </c>
    </row>
    <row r="130" spans="4:7" x14ac:dyDescent="0.25">
      <c r="D130" t="str">
        <f ca="1">IF(SUM($D$2:D129)&gt;$B$4,"",D129+_xll.RiskExpon($B$3))</f>
        <v/>
      </c>
      <c r="E130" t="str">
        <f t="shared" ca="1" si="1"/>
        <v/>
      </c>
      <c r="F130" t="str">
        <f ca="1">IF(E130="","",_xll.RiskNormal($B$1,$B$2,_xll.RiskTruncate($B$8,$B$9)))</f>
        <v/>
      </c>
      <c r="G130" t="str">
        <f ca="1">IF(F130="","",$B$6+C130*$B$5-SUM($F$2:F130))</f>
        <v/>
      </c>
    </row>
    <row r="131" spans="4:7" x14ac:dyDescent="0.25">
      <c r="D131" t="str">
        <f ca="1">IF(SUM($D$2:D130)&gt;$B$4,"",D130+_xll.RiskExpon($B$3))</f>
        <v/>
      </c>
      <c r="E131" t="str">
        <f t="shared" ca="1" si="1"/>
        <v/>
      </c>
      <c r="F131" t="str">
        <f ca="1">IF(E131="","",_xll.RiskNormal($B$1,$B$2,_xll.RiskTruncate($B$8,$B$9)))</f>
        <v/>
      </c>
      <c r="G131" t="str">
        <f ca="1">IF(F131="","",$B$6+C131*$B$5-SUM($F$2:F131))</f>
        <v/>
      </c>
    </row>
    <row r="132" spans="4:7" x14ac:dyDescent="0.25">
      <c r="D132" t="str">
        <f ca="1">IF(SUM($D$2:D131)&gt;$B$4,"",D131+_xll.RiskExpon($B$3))</f>
        <v/>
      </c>
      <c r="E132" t="str">
        <f t="shared" ref="E132:E195" ca="1" si="2">IF(E131&lt;$B$7,E131+1,"")</f>
        <v/>
      </c>
      <c r="F132" t="str">
        <f ca="1">IF(E132="","",_xll.RiskNormal($B$1,$B$2,_xll.RiskTruncate($B$8,$B$9)))</f>
        <v/>
      </c>
      <c r="G132" t="str">
        <f ca="1">IF(F132="","",$B$6+C132*$B$5-SUM($F$2:F132))</f>
        <v/>
      </c>
    </row>
    <row r="133" spans="4:7" x14ac:dyDescent="0.25">
      <c r="D133" t="str">
        <f ca="1">IF(SUM($D$2:D132)&gt;$B$4,"",D132+_xll.RiskExpon($B$3))</f>
        <v/>
      </c>
      <c r="E133" t="str">
        <f t="shared" ca="1" si="2"/>
        <v/>
      </c>
      <c r="F133" t="str">
        <f ca="1">IF(E133="","",_xll.RiskNormal($B$1,$B$2,_xll.RiskTruncate($B$8,$B$9)))</f>
        <v/>
      </c>
      <c r="G133" t="str">
        <f ca="1">IF(F133="","",$B$6+C133*$B$5-SUM($F$2:F133))</f>
        <v/>
      </c>
    </row>
    <row r="134" spans="4:7" x14ac:dyDescent="0.25">
      <c r="D134" t="str">
        <f ca="1">IF(SUM($D$2:D133)&gt;$B$4,"",D133+_xll.RiskExpon($B$3))</f>
        <v/>
      </c>
      <c r="E134" t="str">
        <f t="shared" ca="1" si="2"/>
        <v/>
      </c>
      <c r="F134" t="str">
        <f ca="1">IF(E134="","",_xll.RiskNormal($B$1,$B$2,_xll.RiskTruncate($B$8,$B$9)))</f>
        <v/>
      </c>
      <c r="G134" t="str">
        <f ca="1">IF(F134="","",$B$6+C134*$B$5-SUM($F$2:F134))</f>
        <v/>
      </c>
    </row>
    <row r="135" spans="4:7" x14ac:dyDescent="0.25">
      <c r="D135" t="str">
        <f ca="1">IF(SUM($D$2:D134)&gt;$B$4,"",D134+_xll.RiskExpon($B$3))</f>
        <v/>
      </c>
      <c r="E135" t="str">
        <f t="shared" ca="1" si="2"/>
        <v/>
      </c>
      <c r="F135" t="str">
        <f ca="1">IF(E135="","",_xll.RiskNormal($B$1,$B$2,_xll.RiskTruncate($B$8,$B$9)))</f>
        <v/>
      </c>
      <c r="G135" t="str">
        <f ca="1">IF(F135="","",$B$6+C135*$B$5-SUM($F$2:F135))</f>
        <v/>
      </c>
    </row>
    <row r="136" spans="4:7" x14ac:dyDescent="0.25">
      <c r="D136" t="str">
        <f ca="1">IF(SUM($D$2:D135)&gt;$B$4,"",D135+_xll.RiskExpon($B$3))</f>
        <v/>
      </c>
      <c r="E136" t="str">
        <f t="shared" ca="1" si="2"/>
        <v/>
      </c>
      <c r="F136" t="str">
        <f ca="1">IF(E136="","",_xll.RiskNormal($B$1,$B$2,_xll.RiskTruncate($B$8,$B$9)))</f>
        <v/>
      </c>
      <c r="G136" t="str">
        <f ca="1">IF(F136="","",$B$6+C136*$B$5-SUM($F$2:F136))</f>
        <v/>
      </c>
    </row>
    <row r="137" spans="4:7" x14ac:dyDescent="0.25">
      <c r="D137" t="str">
        <f ca="1">IF(SUM($D$2:D136)&gt;$B$4,"",D136+_xll.RiskExpon($B$3))</f>
        <v/>
      </c>
      <c r="E137" t="str">
        <f t="shared" ca="1" si="2"/>
        <v/>
      </c>
      <c r="F137" t="str">
        <f ca="1">IF(E137="","",_xll.RiskNormal($B$1,$B$2,_xll.RiskTruncate($B$8,$B$9)))</f>
        <v/>
      </c>
      <c r="G137" t="str">
        <f ca="1">IF(F137="","",$B$6+C137*$B$5-SUM($F$2:F137))</f>
        <v/>
      </c>
    </row>
    <row r="138" spans="4:7" x14ac:dyDescent="0.25">
      <c r="D138" t="str">
        <f ca="1">IF(SUM($D$2:D137)&gt;$B$4,"",D137+_xll.RiskExpon($B$3))</f>
        <v/>
      </c>
      <c r="E138" t="str">
        <f t="shared" ca="1" si="2"/>
        <v/>
      </c>
      <c r="F138" t="str">
        <f ca="1">IF(E138="","",_xll.RiskNormal($B$1,$B$2,_xll.RiskTruncate($B$8,$B$9)))</f>
        <v/>
      </c>
      <c r="G138" t="str">
        <f ca="1">IF(F138="","",$B$6+C138*$B$5-SUM($F$2:F138))</f>
        <v/>
      </c>
    </row>
    <row r="139" spans="4:7" x14ac:dyDescent="0.25">
      <c r="D139" t="str">
        <f ca="1">IF(SUM($D$2:D138)&gt;$B$4,"",D138+_xll.RiskExpon($B$3))</f>
        <v/>
      </c>
      <c r="E139" t="str">
        <f t="shared" ca="1" si="2"/>
        <v/>
      </c>
      <c r="F139" t="str">
        <f ca="1">IF(E139="","",_xll.RiskNormal($B$1,$B$2,_xll.RiskTruncate($B$8,$B$9)))</f>
        <v/>
      </c>
      <c r="G139" t="str">
        <f ca="1">IF(F139="","",$B$6+C139*$B$5-SUM($F$2:F139))</f>
        <v/>
      </c>
    </row>
    <row r="140" spans="4:7" x14ac:dyDescent="0.25">
      <c r="D140" t="str">
        <f ca="1">IF(SUM($D$2:D139)&gt;$B$4,"",D139+_xll.RiskExpon($B$3))</f>
        <v/>
      </c>
      <c r="E140" t="str">
        <f t="shared" ca="1" si="2"/>
        <v/>
      </c>
      <c r="F140" t="str">
        <f ca="1">IF(E140="","",_xll.RiskNormal($B$1,$B$2,_xll.RiskTruncate($B$8,$B$9)))</f>
        <v/>
      </c>
      <c r="G140" t="str">
        <f ca="1">IF(F140="","",$B$6+C140*$B$5-SUM($F$2:F140))</f>
        <v/>
      </c>
    </row>
    <row r="141" spans="4:7" x14ac:dyDescent="0.25">
      <c r="D141" t="str">
        <f ca="1">IF(SUM($D$2:D140)&gt;$B$4,"",D140+_xll.RiskExpon($B$3))</f>
        <v/>
      </c>
      <c r="E141" t="str">
        <f t="shared" ca="1" si="2"/>
        <v/>
      </c>
      <c r="F141" t="str">
        <f ca="1">IF(E141="","",_xll.RiskNormal($B$1,$B$2,_xll.RiskTruncate($B$8,$B$9)))</f>
        <v/>
      </c>
      <c r="G141" t="str">
        <f ca="1">IF(F141="","",$B$6+C141*$B$5-SUM($F$2:F141))</f>
        <v/>
      </c>
    </row>
    <row r="142" spans="4:7" x14ac:dyDescent="0.25">
      <c r="D142" t="str">
        <f ca="1">IF(SUM($D$2:D141)&gt;$B$4,"",D141+_xll.RiskExpon($B$3))</f>
        <v/>
      </c>
      <c r="E142" t="str">
        <f t="shared" ca="1" si="2"/>
        <v/>
      </c>
      <c r="F142" t="str">
        <f ca="1">IF(E142="","",_xll.RiskNormal($B$1,$B$2,_xll.RiskTruncate($B$8,$B$9)))</f>
        <v/>
      </c>
      <c r="G142" t="str">
        <f ca="1">IF(F142="","",$B$6+C142*$B$5-SUM($F$2:F142))</f>
        <v/>
      </c>
    </row>
    <row r="143" spans="4:7" x14ac:dyDescent="0.25">
      <c r="D143" t="str">
        <f ca="1">IF(SUM($D$2:D142)&gt;$B$4,"",D142+_xll.RiskExpon($B$3))</f>
        <v/>
      </c>
      <c r="E143" t="str">
        <f t="shared" ca="1" si="2"/>
        <v/>
      </c>
      <c r="F143" t="str">
        <f ca="1">IF(E143="","",_xll.RiskNormal($B$1,$B$2,_xll.RiskTruncate($B$8,$B$9)))</f>
        <v/>
      </c>
      <c r="G143" t="str">
        <f ca="1">IF(F143="","",$B$6+C143*$B$5-SUM($F$2:F143))</f>
        <v/>
      </c>
    </row>
    <row r="144" spans="4:7" x14ac:dyDescent="0.25">
      <c r="D144" t="str">
        <f ca="1">IF(SUM($D$2:D143)&gt;$B$4,"",D143+_xll.RiskExpon($B$3))</f>
        <v/>
      </c>
      <c r="E144" t="str">
        <f t="shared" ca="1" si="2"/>
        <v/>
      </c>
      <c r="F144" t="str">
        <f ca="1">IF(E144="","",_xll.RiskNormal($B$1,$B$2,_xll.RiskTruncate($B$8,$B$9)))</f>
        <v/>
      </c>
      <c r="G144" t="str">
        <f ca="1">IF(F144="","",$B$6+C144*$B$5-SUM($F$2:F144))</f>
        <v/>
      </c>
    </row>
    <row r="145" spans="4:7" x14ac:dyDescent="0.25">
      <c r="D145" t="str">
        <f ca="1">IF(SUM($D$2:D144)&gt;$B$4,"",D144+_xll.RiskExpon($B$3))</f>
        <v/>
      </c>
      <c r="E145" t="str">
        <f t="shared" ca="1" si="2"/>
        <v/>
      </c>
      <c r="F145" t="str">
        <f ca="1">IF(E145="","",_xll.RiskNormal($B$1,$B$2,_xll.RiskTruncate($B$8,$B$9)))</f>
        <v/>
      </c>
      <c r="G145" t="str">
        <f ca="1">IF(F145="","",$B$6+C145*$B$5-SUM($F$2:F145))</f>
        <v/>
      </c>
    </row>
    <row r="146" spans="4:7" x14ac:dyDescent="0.25">
      <c r="D146" t="str">
        <f ca="1">IF(SUM($D$2:D145)&gt;$B$4,"",D145+_xll.RiskExpon($B$3))</f>
        <v/>
      </c>
      <c r="E146" t="str">
        <f t="shared" ca="1" si="2"/>
        <v/>
      </c>
      <c r="F146" t="str">
        <f ca="1">IF(E146="","",_xll.RiskNormal($B$1,$B$2,_xll.RiskTruncate($B$8,$B$9)))</f>
        <v/>
      </c>
      <c r="G146" t="str">
        <f ca="1">IF(F146="","",$B$6+C146*$B$5-SUM($F$2:F146))</f>
        <v/>
      </c>
    </row>
    <row r="147" spans="4:7" x14ac:dyDescent="0.25">
      <c r="D147" t="str">
        <f ca="1">IF(SUM($D$2:D146)&gt;$B$4,"",D146+_xll.RiskExpon($B$3))</f>
        <v/>
      </c>
      <c r="E147" t="str">
        <f t="shared" ca="1" si="2"/>
        <v/>
      </c>
      <c r="F147" t="str">
        <f ca="1">IF(E147="","",_xll.RiskNormal($B$1,$B$2,_xll.RiskTruncate($B$8,$B$9)))</f>
        <v/>
      </c>
      <c r="G147" t="str">
        <f ca="1">IF(F147="","",$B$6+C147*$B$5-SUM($F$2:F147))</f>
        <v/>
      </c>
    </row>
    <row r="148" spans="4:7" x14ac:dyDescent="0.25">
      <c r="D148" t="str">
        <f ca="1">IF(SUM($D$2:D147)&gt;$B$4,"",D147+_xll.RiskExpon($B$3))</f>
        <v/>
      </c>
      <c r="E148" t="str">
        <f t="shared" ca="1" si="2"/>
        <v/>
      </c>
      <c r="F148" t="str">
        <f ca="1">IF(E148="","",_xll.RiskNormal($B$1,$B$2,_xll.RiskTruncate($B$8,$B$9)))</f>
        <v/>
      </c>
      <c r="G148" t="str">
        <f ca="1">IF(F148="","",$B$6+C148*$B$5-SUM($F$2:F148))</f>
        <v/>
      </c>
    </row>
    <row r="149" spans="4:7" x14ac:dyDescent="0.25">
      <c r="D149" t="str">
        <f ca="1">IF(SUM($D$2:D148)&gt;$B$4,"",D148+_xll.RiskExpon($B$3))</f>
        <v/>
      </c>
      <c r="E149" t="str">
        <f t="shared" ca="1" si="2"/>
        <v/>
      </c>
      <c r="F149" t="str">
        <f ca="1">IF(E149="","",_xll.RiskNormal($B$1,$B$2,_xll.RiskTruncate($B$8,$B$9)))</f>
        <v/>
      </c>
      <c r="G149" t="str">
        <f ca="1">IF(F149="","",$B$6+C149*$B$5-SUM($F$2:F149))</f>
        <v/>
      </c>
    </row>
    <row r="150" spans="4:7" x14ac:dyDescent="0.25">
      <c r="D150" t="str">
        <f ca="1">IF(SUM($D$2:D149)&gt;$B$4,"",D149+_xll.RiskExpon($B$3))</f>
        <v/>
      </c>
      <c r="E150" t="str">
        <f t="shared" ca="1" si="2"/>
        <v/>
      </c>
      <c r="F150" t="str">
        <f ca="1">IF(E150="","",_xll.RiskNormal($B$1,$B$2,_xll.RiskTruncate($B$8,$B$9)))</f>
        <v/>
      </c>
      <c r="G150" t="str">
        <f ca="1">IF(F150="","",$B$6+C150*$B$5-SUM($F$2:F150))</f>
        <v/>
      </c>
    </row>
    <row r="151" spans="4:7" x14ac:dyDescent="0.25">
      <c r="D151" t="str">
        <f ca="1">IF(SUM($D$2:D150)&gt;$B$4,"",D150+_xll.RiskExpon($B$3))</f>
        <v/>
      </c>
      <c r="E151" t="str">
        <f t="shared" ca="1" si="2"/>
        <v/>
      </c>
      <c r="F151" t="str">
        <f ca="1">IF(E151="","",_xll.RiskNormal($B$1,$B$2,_xll.RiskTruncate($B$8,$B$9)))</f>
        <v/>
      </c>
      <c r="G151" t="str">
        <f ca="1">IF(F151="","",$B$6+C151*$B$5-SUM($F$2:F151))</f>
        <v/>
      </c>
    </row>
    <row r="152" spans="4:7" x14ac:dyDescent="0.25">
      <c r="D152" t="str">
        <f ca="1">IF(SUM($D$2:D151)&gt;$B$4,"",D151+_xll.RiskExpon($B$3))</f>
        <v/>
      </c>
      <c r="E152" t="str">
        <f t="shared" ca="1" si="2"/>
        <v/>
      </c>
      <c r="F152" t="str">
        <f ca="1">IF(E152="","",_xll.RiskNormal($B$1,$B$2,_xll.RiskTruncate($B$8,$B$9)))</f>
        <v/>
      </c>
      <c r="G152" t="str">
        <f ca="1">IF(F152="","",$B$6+C152*$B$5-SUM($F$2:F152))</f>
        <v/>
      </c>
    </row>
    <row r="153" spans="4:7" x14ac:dyDescent="0.25">
      <c r="D153" t="str">
        <f ca="1">IF(SUM($D$2:D152)&gt;$B$4,"",D152+_xll.RiskExpon($B$3))</f>
        <v/>
      </c>
      <c r="E153" t="str">
        <f t="shared" ca="1" si="2"/>
        <v/>
      </c>
      <c r="F153" t="str">
        <f ca="1">IF(E153="","",_xll.RiskNormal($B$1,$B$2,_xll.RiskTruncate($B$8,$B$9)))</f>
        <v/>
      </c>
      <c r="G153" t="str">
        <f ca="1">IF(F153="","",$B$6+C153*$B$5-SUM($F$2:F153))</f>
        <v/>
      </c>
    </row>
    <row r="154" spans="4:7" x14ac:dyDescent="0.25">
      <c r="D154" t="str">
        <f ca="1">IF(SUM($D$2:D153)&gt;$B$4,"",D153+_xll.RiskExpon($B$3))</f>
        <v/>
      </c>
      <c r="E154" t="str">
        <f t="shared" ca="1" si="2"/>
        <v/>
      </c>
      <c r="F154" t="str">
        <f ca="1">IF(E154="","",_xll.RiskNormal($B$1,$B$2,_xll.RiskTruncate($B$8,$B$9)))</f>
        <v/>
      </c>
      <c r="G154" t="str">
        <f ca="1">IF(F154="","",$B$6+C154*$B$5-SUM($F$2:F154))</f>
        <v/>
      </c>
    </row>
    <row r="155" spans="4:7" x14ac:dyDescent="0.25">
      <c r="D155" t="str">
        <f ca="1">IF(SUM($D$2:D154)&gt;$B$4,"",D154+_xll.RiskExpon($B$3))</f>
        <v/>
      </c>
      <c r="E155" t="str">
        <f t="shared" ca="1" si="2"/>
        <v/>
      </c>
      <c r="F155" t="str">
        <f ca="1">IF(E155="","",_xll.RiskNormal($B$1,$B$2,_xll.RiskTruncate($B$8,$B$9)))</f>
        <v/>
      </c>
      <c r="G155" t="str">
        <f ca="1">IF(F155="","",$B$6+C155*$B$5-SUM($F$2:F155))</f>
        <v/>
      </c>
    </row>
    <row r="156" spans="4:7" x14ac:dyDescent="0.25">
      <c r="D156" t="str">
        <f ca="1">IF(SUM($D$2:D155)&gt;$B$4,"",D155+_xll.RiskExpon($B$3))</f>
        <v/>
      </c>
      <c r="E156" t="str">
        <f t="shared" ca="1" si="2"/>
        <v/>
      </c>
      <c r="F156" t="str">
        <f ca="1">IF(E156="","",_xll.RiskNormal($B$1,$B$2,_xll.RiskTruncate($B$8,$B$9)))</f>
        <v/>
      </c>
      <c r="G156" t="str">
        <f ca="1">IF(F156="","",$B$6+C156*$B$5-SUM($F$2:F156))</f>
        <v/>
      </c>
    </row>
    <row r="157" spans="4:7" x14ac:dyDescent="0.25">
      <c r="D157" t="str">
        <f ca="1">IF(SUM($D$2:D156)&gt;$B$4,"",D156+_xll.RiskExpon($B$3))</f>
        <v/>
      </c>
      <c r="E157" t="str">
        <f t="shared" ca="1" si="2"/>
        <v/>
      </c>
      <c r="F157" t="str">
        <f ca="1">IF(E157="","",_xll.RiskNormal($B$1,$B$2,_xll.RiskTruncate($B$8,$B$9)))</f>
        <v/>
      </c>
      <c r="G157" t="str">
        <f ca="1">IF(F157="","",$B$6+C157*$B$5-SUM($F$2:F157))</f>
        <v/>
      </c>
    </row>
    <row r="158" spans="4:7" x14ac:dyDescent="0.25">
      <c r="D158" t="str">
        <f ca="1">IF(SUM($D$2:D157)&gt;$B$4,"",D157+_xll.RiskExpon($B$3))</f>
        <v/>
      </c>
      <c r="E158" t="str">
        <f t="shared" ca="1" si="2"/>
        <v/>
      </c>
      <c r="F158" t="str">
        <f ca="1">IF(E158="","",_xll.RiskNormal($B$1,$B$2,_xll.RiskTruncate($B$8,$B$9)))</f>
        <v/>
      </c>
      <c r="G158" t="str">
        <f ca="1">IF(F158="","",$B$6+C158*$B$5-SUM($F$2:F158))</f>
        <v/>
      </c>
    </row>
    <row r="159" spans="4:7" x14ac:dyDescent="0.25">
      <c r="D159" t="str">
        <f ca="1">IF(SUM($D$2:D158)&gt;$B$4,"",D158+_xll.RiskExpon($B$3))</f>
        <v/>
      </c>
      <c r="E159" t="str">
        <f t="shared" ca="1" si="2"/>
        <v/>
      </c>
      <c r="F159" t="str">
        <f ca="1">IF(E159="","",_xll.RiskNormal($B$1,$B$2,_xll.RiskTruncate($B$8,$B$9)))</f>
        <v/>
      </c>
      <c r="G159" t="str">
        <f ca="1">IF(F159="","",$B$6+C159*$B$5-SUM($F$2:F159))</f>
        <v/>
      </c>
    </row>
    <row r="160" spans="4:7" x14ac:dyDescent="0.25">
      <c r="D160" t="str">
        <f ca="1">IF(SUM($D$2:D159)&gt;$B$4,"",D159+_xll.RiskExpon($B$3))</f>
        <v/>
      </c>
      <c r="E160" t="str">
        <f t="shared" ca="1" si="2"/>
        <v/>
      </c>
      <c r="F160" t="str">
        <f ca="1">IF(E160="","",_xll.RiskNormal($B$1,$B$2,_xll.RiskTruncate($B$8,$B$9)))</f>
        <v/>
      </c>
      <c r="G160" t="str">
        <f ca="1">IF(F160="","",$B$6+C160*$B$5-SUM($F$2:F160))</f>
        <v/>
      </c>
    </row>
    <row r="161" spans="4:7" x14ac:dyDescent="0.25">
      <c r="D161" t="str">
        <f ca="1">IF(SUM($D$2:D160)&gt;$B$4,"",D160+_xll.RiskExpon($B$3))</f>
        <v/>
      </c>
      <c r="E161" t="str">
        <f t="shared" ca="1" si="2"/>
        <v/>
      </c>
      <c r="F161" t="str">
        <f ca="1">IF(E161="","",_xll.RiskNormal($B$1,$B$2,_xll.RiskTruncate($B$8,$B$9)))</f>
        <v/>
      </c>
      <c r="G161" t="str">
        <f ca="1">IF(F161="","",$B$6+C161*$B$5-SUM($F$2:F161))</f>
        <v/>
      </c>
    </row>
    <row r="162" spans="4:7" x14ac:dyDescent="0.25">
      <c r="D162" t="str">
        <f ca="1">IF(SUM($D$2:D161)&gt;$B$4,"",D161+_xll.RiskExpon($B$3))</f>
        <v/>
      </c>
      <c r="E162" t="str">
        <f t="shared" ca="1" si="2"/>
        <v/>
      </c>
      <c r="F162" t="str">
        <f ca="1">IF(E162="","",_xll.RiskNormal($B$1,$B$2,_xll.RiskTruncate($B$8,$B$9)))</f>
        <v/>
      </c>
      <c r="G162" t="str">
        <f ca="1">IF(F162="","",$B$6+C162*$B$5-SUM($F$2:F162))</f>
        <v/>
      </c>
    </row>
    <row r="163" spans="4:7" x14ac:dyDescent="0.25">
      <c r="D163" t="str">
        <f ca="1">IF(SUM($D$2:D162)&gt;$B$4,"",D162+_xll.RiskExpon($B$3))</f>
        <v/>
      </c>
      <c r="E163" t="str">
        <f t="shared" ca="1" si="2"/>
        <v/>
      </c>
      <c r="F163" t="str">
        <f ca="1">IF(E163="","",_xll.RiskNormal($B$1,$B$2,_xll.RiskTruncate($B$8,$B$9)))</f>
        <v/>
      </c>
      <c r="G163" t="str">
        <f ca="1">IF(F163="","",$B$6+C163*$B$5-SUM($F$2:F163))</f>
        <v/>
      </c>
    </row>
    <row r="164" spans="4:7" x14ac:dyDescent="0.25">
      <c r="D164" t="str">
        <f ca="1">IF(SUM($D$2:D163)&gt;$B$4,"",D163+_xll.RiskExpon($B$3))</f>
        <v/>
      </c>
      <c r="E164" t="str">
        <f t="shared" ca="1" si="2"/>
        <v/>
      </c>
      <c r="F164" t="str">
        <f ca="1">IF(E164="","",_xll.RiskNormal($B$1,$B$2,_xll.RiskTruncate($B$8,$B$9)))</f>
        <v/>
      </c>
      <c r="G164" t="str">
        <f ca="1">IF(F164="","",$B$6+C164*$B$5-SUM($F$2:F164))</f>
        <v/>
      </c>
    </row>
    <row r="165" spans="4:7" x14ac:dyDescent="0.25">
      <c r="D165" t="str">
        <f ca="1">IF(SUM($D$2:D164)&gt;$B$4,"",D164+_xll.RiskExpon($B$3))</f>
        <v/>
      </c>
      <c r="E165" t="str">
        <f t="shared" ca="1" si="2"/>
        <v/>
      </c>
      <c r="F165" t="str">
        <f ca="1">IF(E165="","",_xll.RiskNormal($B$1,$B$2,_xll.RiskTruncate($B$8,$B$9)))</f>
        <v/>
      </c>
      <c r="G165" t="str">
        <f ca="1">IF(F165="","",$B$6+C165*$B$5-SUM($F$2:F165))</f>
        <v/>
      </c>
    </row>
    <row r="166" spans="4:7" x14ac:dyDescent="0.25">
      <c r="D166" t="str">
        <f ca="1">IF(SUM($D$2:D165)&gt;$B$4,"",D165+_xll.RiskExpon($B$3))</f>
        <v/>
      </c>
      <c r="E166" t="str">
        <f t="shared" ca="1" si="2"/>
        <v/>
      </c>
      <c r="F166" t="str">
        <f ca="1">IF(E166="","",_xll.RiskNormal($B$1,$B$2,_xll.RiskTruncate($B$8,$B$9)))</f>
        <v/>
      </c>
      <c r="G166" t="str">
        <f ca="1">IF(F166="","",$B$6+C166*$B$5-SUM($F$2:F166))</f>
        <v/>
      </c>
    </row>
    <row r="167" spans="4:7" x14ac:dyDescent="0.25">
      <c r="D167" t="str">
        <f ca="1">IF(SUM($D$2:D166)&gt;$B$4,"",D166+_xll.RiskExpon($B$3))</f>
        <v/>
      </c>
      <c r="E167" t="str">
        <f t="shared" ca="1" si="2"/>
        <v/>
      </c>
      <c r="F167" t="str">
        <f ca="1">IF(E167="","",_xll.RiskNormal($B$1,$B$2,_xll.RiskTruncate($B$8,$B$9)))</f>
        <v/>
      </c>
      <c r="G167" t="str">
        <f ca="1">IF(F167="","",$B$6+C167*$B$5-SUM($F$2:F167))</f>
        <v/>
      </c>
    </row>
    <row r="168" spans="4:7" x14ac:dyDescent="0.25">
      <c r="D168" t="str">
        <f ca="1">IF(SUM($D$2:D167)&gt;$B$4,"",D167+_xll.RiskExpon($B$3))</f>
        <v/>
      </c>
      <c r="E168" t="str">
        <f t="shared" ca="1" si="2"/>
        <v/>
      </c>
      <c r="F168" t="str">
        <f ca="1">IF(E168="","",_xll.RiskNormal($B$1,$B$2,_xll.RiskTruncate($B$8,$B$9)))</f>
        <v/>
      </c>
      <c r="G168" t="str">
        <f ca="1">IF(F168="","",$B$6+C168*$B$5-SUM($F$2:F168))</f>
        <v/>
      </c>
    </row>
    <row r="169" spans="4:7" x14ac:dyDescent="0.25">
      <c r="D169" t="str">
        <f ca="1">IF(SUM($D$2:D168)&gt;$B$4,"",D168+_xll.RiskExpon($B$3))</f>
        <v/>
      </c>
      <c r="E169" t="str">
        <f t="shared" ca="1" si="2"/>
        <v/>
      </c>
      <c r="F169" t="str">
        <f ca="1">IF(E169="","",_xll.RiskNormal($B$1,$B$2,_xll.RiskTruncate($B$8,$B$9)))</f>
        <v/>
      </c>
      <c r="G169" t="str">
        <f ca="1">IF(F169="","",$B$6+C169*$B$5-SUM($F$2:F169))</f>
        <v/>
      </c>
    </row>
    <row r="170" spans="4:7" x14ac:dyDescent="0.25">
      <c r="D170" t="str">
        <f ca="1">IF(SUM($D$2:D169)&gt;$B$4,"",D169+_xll.RiskExpon($B$3))</f>
        <v/>
      </c>
      <c r="E170" t="str">
        <f t="shared" ca="1" si="2"/>
        <v/>
      </c>
      <c r="F170" t="str">
        <f ca="1">IF(E170="","",_xll.RiskNormal($B$1,$B$2,_xll.RiskTruncate($B$8,$B$9)))</f>
        <v/>
      </c>
      <c r="G170" t="str">
        <f ca="1">IF(F170="","",$B$6+C170*$B$5-SUM($F$2:F170))</f>
        <v/>
      </c>
    </row>
    <row r="171" spans="4:7" x14ac:dyDescent="0.25">
      <c r="D171" t="str">
        <f ca="1">IF(SUM($D$2:D170)&gt;$B$4,"",D170+_xll.RiskExpon($B$3))</f>
        <v/>
      </c>
      <c r="E171" t="str">
        <f t="shared" ca="1" si="2"/>
        <v/>
      </c>
      <c r="F171" t="str">
        <f ca="1">IF(E171="","",_xll.RiskNormal($B$1,$B$2,_xll.RiskTruncate($B$8,$B$9)))</f>
        <v/>
      </c>
      <c r="G171" t="str">
        <f ca="1">IF(F171="","",$B$6+C171*$B$5-SUM($F$2:F171))</f>
        <v/>
      </c>
    </row>
    <row r="172" spans="4:7" x14ac:dyDescent="0.25">
      <c r="D172" t="str">
        <f ca="1">IF(SUM($D$2:D171)&gt;$B$4,"",D171+_xll.RiskExpon($B$3))</f>
        <v/>
      </c>
      <c r="E172" t="str">
        <f t="shared" ca="1" si="2"/>
        <v/>
      </c>
      <c r="F172" t="str">
        <f ca="1">IF(E172="","",_xll.RiskNormal($B$1,$B$2,_xll.RiskTruncate($B$8,$B$9)))</f>
        <v/>
      </c>
      <c r="G172" t="str">
        <f ca="1">IF(F172="","",$B$6+C172*$B$5-SUM($F$2:F172))</f>
        <v/>
      </c>
    </row>
    <row r="173" spans="4:7" x14ac:dyDescent="0.25">
      <c r="D173" t="str">
        <f ca="1">IF(SUM($D$2:D172)&gt;$B$4,"",D172+_xll.RiskExpon($B$3))</f>
        <v/>
      </c>
      <c r="E173" t="str">
        <f t="shared" ca="1" si="2"/>
        <v/>
      </c>
      <c r="F173" t="str">
        <f ca="1">IF(E173="","",_xll.RiskNormal($B$1,$B$2,_xll.RiskTruncate($B$8,$B$9)))</f>
        <v/>
      </c>
      <c r="G173" t="str">
        <f ca="1">IF(F173="","",$B$6+C173*$B$5-SUM($F$2:F173))</f>
        <v/>
      </c>
    </row>
    <row r="174" spans="4:7" x14ac:dyDescent="0.25">
      <c r="D174" t="str">
        <f ca="1">IF(SUM($D$2:D173)&gt;$B$4,"",D173+_xll.RiskExpon($B$3))</f>
        <v/>
      </c>
      <c r="E174" t="str">
        <f t="shared" ca="1" si="2"/>
        <v/>
      </c>
      <c r="F174" t="str">
        <f ca="1">IF(E174="","",_xll.RiskNormal($B$1,$B$2,_xll.RiskTruncate($B$8,$B$9)))</f>
        <v/>
      </c>
      <c r="G174" t="str">
        <f ca="1">IF(F174="","",$B$6+C174*$B$5-SUM($F$2:F174))</f>
        <v/>
      </c>
    </row>
    <row r="175" spans="4:7" x14ac:dyDescent="0.25">
      <c r="D175" t="str">
        <f ca="1">IF(SUM($D$2:D174)&gt;$B$4,"",D174+_xll.RiskExpon($B$3))</f>
        <v/>
      </c>
      <c r="E175" t="str">
        <f t="shared" ca="1" si="2"/>
        <v/>
      </c>
      <c r="F175" t="str">
        <f ca="1">IF(E175="","",_xll.RiskNormal($B$1,$B$2,_xll.RiskTruncate($B$8,$B$9)))</f>
        <v/>
      </c>
      <c r="G175" t="str">
        <f ca="1">IF(F175="","",$B$6+C175*$B$5-SUM($F$2:F175))</f>
        <v/>
      </c>
    </row>
    <row r="176" spans="4:7" x14ac:dyDescent="0.25">
      <c r="D176" t="str">
        <f ca="1">IF(SUM($D$2:D175)&gt;$B$4,"",D175+_xll.RiskExpon($B$3))</f>
        <v/>
      </c>
      <c r="E176" t="str">
        <f t="shared" ca="1" si="2"/>
        <v/>
      </c>
      <c r="F176" t="str">
        <f ca="1">IF(E176="","",_xll.RiskNormal($B$1,$B$2,_xll.RiskTruncate($B$8,$B$9)))</f>
        <v/>
      </c>
      <c r="G176" t="str">
        <f ca="1">IF(F176="","",$B$6+C176*$B$5-SUM($F$2:F176))</f>
        <v/>
      </c>
    </row>
    <row r="177" spans="4:7" x14ac:dyDescent="0.25">
      <c r="D177" t="str">
        <f ca="1">IF(SUM($D$2:D176)&gt;$B$4,"",D176+_xll.RiskExpon($B$3))</f>
        <v/>
      </c>
      <c r="E177" t="str">
        <f t="shared" ca="1" si="2"/>
        <v/>
      </c>
      <c r="F177" t="str">
        <f ca="1">IF(E177="","",_xll.RiskNormal($B$1,$B$2,_xll.RiskTruncate($B$8,$B$9)))</f>
        <v/>
      </c>
      <c r="G177" t="str">
        <f ca="1">IF(F177="","",$B$6+C177*$B$5-SUM($F$2:F177))</f>
        <v/>
      </c>
    </row>
    <row r="178" spans="4:7" x14ac:dyDescent="0.25">
      <c r="D178" t="str">
        <f ca="1">IF(SUM($D$2:D177)&gt;$B$4,"",D177+_xll.RiskExpon($B$3))</f>
        <v/>
      </c>
      <c r="E178" t="str">
        <f t="shared" ca="1" si="2"/>
        <v/>
      </c>
      <c r="F178" t="str">
        <f ca="1">IF(E178="","",_xll.RiskNormal($B$1,$B$2,_xll.RiskTruncate($B$8,$B$9)))</f>
        <v/>
      </c>
      <c r="G178" t="str">
        <f ca="1">IF(F178="","",$B$6+C178*$B$5-SUM($F$2:F178))</f>
        <v/>
      </c>
    </row>
    <row r="179" spans="4:7" x14ac:dyDescent="0.25">
      <c r="D179" t="str">
        <f ca="1">IF(SUM($D$2:D178)&gt;$B$4,"",D178+_xll.RiskExpon($B$3))</f>
        <v/>
      </c>
      <c r="E179" t="str">
        <f t="shared" ca="1" si="2"/>
        <v/>
      </c>
      <c r="F179" t="str">
        <f ca="1">IF(E179="","",_xll.RiskNormal($B$1,$B$2,_xll.RiskTruncate($B$8,$B$9)))</f>
        <v/>
      </c>
      <c r="G179" t="str">
        <f ca="1">IF(F179="","",$B$6+C179*$B$5-SUM($F$2:F179))</f>
        <v/>
      </c>
    </row>
    <row r="180" spans="4:7" x14ac:dyDescent="0.25">
      <c r="D180" t="str">
        <f ca="1">IF(SUM($D$2:D179)&gt;$B$4,"",D179+_xll.RiskExpon($B$3))</f>
        <v/>
      </c>
      <c r="E180" t="str">
        <f t="shared" ca="1" si="2"/>
        <v/>
      </c>
      <c r="F180" t="str">
        <f ca="1">IF(E180="","",_xll.RiskNormal($B$1,$B$2,_xll.RiskTruncate($B$8,$B$9)))</f>
        <v/>
      </c>
      <c r="G180" t="str">
        <f ca="1">IF(F180="","",$B$6+C180*$B$5-SUM($F$2:F180))</f>
        <v/>
      </c>
    </row>
    <row r="181" spans="4:7" x14ac:dyDescent="0.25">
      <c r="D181" t="str">
        <f ca="1">IF(SUM($D$2:D180)&gt;$B$4,"",D180+_xll.RiskExpon($B$3))</f>
        <v/>
      </c>
      <c r="E181" t="str">
        <f t="shared" ca="1" si="2"/>
        <v/>
      </c>
      <c r="F181" t="str">
        <f ca="1">IF(E181="","",_xll.RiskNormal($B$1,$B$2,_xll.RiskTruncate($B$8,$B$9)))</f>
        <v/>
      </c>
      <c r="G181" t="str">
        <f ca="1">IF(F181="","",$B$6+C181*$B$5-SUM($F$2:F181))</f>
        <v/>
      </c>
    </row>
    <row r="182" spans="4:7" x14ac:dyDescent="0.25">
      <c r="D182" t="str">
        <f ca="1">IF(SUM($D$2:D181)&gt;$B$4,"",D181+_xll.RiskExpon($B$3))</f>
        <v/>
      </c>
      <c r="E182" t="str">
        <f t="shared" ca="1" si="2"/>
        <v/>
      </c>
      <c r="F182" t="str">
        <f ca="1">IF(E182="","",_xll.RiskNormal($B$1,$B$2,_xll.RiskTruncate($B$8,$B$9)))</f>
        <v/>
      </c>
      <c r="G182" t="str">
        <f ca="1">IF(F182="","",$B$6+C182*$B$5-SUM($F$2:F182))</f>
        <v/>
      </c>
    </row>
    <row r="183" spans="4:7" x14ac:dyDescent="0.25">
      <c r="D183" t="str">
        <f ca="1">IF(SUM($D$2:D182)&gt;$B$4,"",D182+_xll.RiskExpon($B$3))</f>
        <v/>
      </c>
      <c r="E183" t="str">
        <f t="shared" ca="1" si="2"/>
        <v/>
      </c>
      <c r="F183" t="str">
        <f ca="1">IF(E183="","",_xll.RiskNormal($B$1,$B$2,_xll.RiskTruncate($B$8,$B$9)))</f>
        <v/>
      </c>
      <c r="G183" t="str">
        <f ca="1">IF(F183="","",$B$6+C183*$B$5-SUM($F$2:F183))</f>
        <v/>
      </c>
    </row>
    <row r="184" spans="4:7" x14ac:dyDescent="0.25">
      <c r="D184" t="str">
        <f ca="1">IF(SUM($D$2:D183)&gt;$B$4,"",D183+_xll.RiskExpon($B$3))</f>
        <v/>
      </c>
      <c r="E184" t="str">
        <f t="shared" ca="1" si="2"/>
        <v/>
      </c>
      <c r="F184" t="str">
        <f ca="1">IF(E184="","",_xll.RiskNormal($B$1,$B$2,_xll.RiskTruncate($B$8,$B$9)))</f>
        <v/>
      </c>
      <c r="G184" t="str">
        <f ca="1">IF(F184="","",$B$6+C184*$B$5-SUM($F$2:F184))</f>
        <v/>
      </c>
    </row>
    <row r="185" spans="4:7" x14ac:dyDescent="0.25">
      <c r="D185" t="str">
        <f ca="1">IF(SUM($D$2:D184)&gt;$B$4,"",D184+_xll.RiskExpon($B$3))</f>
        <v/>
      </c>
      <c r="E185" t="str">
        <f t="shared" ca="1" si="2"/>
        <v/>
      </c>
      <c r="F185" t="str">
        <f ca="1">IF(E185="","",_xll.RiskNormal($B$1,$B$2,_xll.RiskTruncate($B$8,$B$9)))</f>
        <v/>
      </c>
      <c r="G185" t="str">
        <f ca="1">IF(F185="","",$B$6+C185*$B$5-SUM($F$2:F185))</f>
        <v/>
      </c>
    </row>
    <row r="186" spans="4:7" x14ac:dyDescent="0.25">
      <c r="D186" t="str">
        <f ca="1">IF(SUM($D$2:D185)&gt;$B$4,"",D185+_xll.RiskExpon($B$3))</f>
        <v/>
      </c>
      <c r="E186" t="str">
        <f t="shared" ca="1" si="2"/>
        <v/>
      </c>
      <c r="F186" t="str">
        <f ca="1">IF(E186="","",_xll.RiskNormal($B$1,$B$2,_xll.RiskTruncate($B$8,$B$9)))</f>
        <v/>
      </c>
      <c r="G186" t="str">
        <f ca="1">IF(F186="","",$B$6+C186*$B$5-SUM($F$2:F186))</f>
        <v/>
      </c>
    </row>
    <row r="187" spans="4:7" x14ac:dyDescent="0.25">
      <c r="D187" t="str">
        <f ca="1">IF(SUM($D$2:D186)&gt;$B$4,"",D186+_xll.RiskExpon($B$3))</f>
        <v/>
      </c>
      <c r="E187" t="str">
        <f t="shared" ca="1" si="2"/>
        <v/>
      </c>
      <c r="F187" t="str">
        <f ca="1">IF(E187="","",_xll.RiskNormal($B$1,$B$2,_xll.RiskTruncate($B$8,$B$9)))</f>
        <v/>
      </c>
      <c r="G187" t="str">
        <f ca="1">IF(F187="","",$B$6+C187*$B$5-SUM($F$2:F187))</f>
        <v/>
      </c>
    </row>
    <row r="188" spans="4:7" x14ac:dyDescent="0.25">
      <c r="D188" t="str">
        <f ca="1">IF(SUM($D$2:D187)&gt;$B$4,"",D187+_xll.RiskExpon($B$3))</f>
        <v/>
      </c>
      <c r="E188" t="str">
        <f t="shared" ca="1" si="2"/>
        <v/>
      </c>
      <c r="F188" t="str">
        <f ca="1">IF(E188="","",_xll.RiskNormal($B$1,$B$2,_xll.RiskTruncate($B$8,$B$9)))</f>
        <v/>
      </c>
      <c r="G188" t="str">
        <f ca="1">IF(F188="","",$B$6+C188*$B$5-SUM($F$2:F188))</f>
        <v/>
      </c>
    </row>
    <row r="189" spans="4:7" x14ac:dyDescent="0.25">
      <c r="D189" t="str">
        <f ca="1">IF(SUM($D$2:D188)&gt;$B$4,"",D188+_xll.RiskExpon($B$3))</f>
        <v/>
      </c>
      <c r="E189" t="str">
        <f t="shared" ca="1" si="2"/>
        <v/>
      </c>
      <c r="F189" t="str">
        <f ca="1">IF(E189="","",_xll.RiskNormal($B$1,$B$2,_xll.RiskTruncate($B$8,$B$9)))</f>
        <v/>
      </c>
      <c r="G189" t="str">
        <f ca="1">IF(F189="","",$B$6+C189*$B$5-SUM($F$2:F189))</f>
        <v/>
      </c>
    </row>
    <row r="190" spans="4:7" x14ac:dyDescent="0.25">
      <c r="D190" t="str">
        <f ca="1">IF(SUM($D$2:D189)&gt;$B$4,"",D189+_xll.RiskExpon($B$3))</f>
        <v/>
      </c>
      <c r="E190" t="str">
        <f t="shared" ca="1" si="2"/>
        <v/>
      </c>
      <c r="F190" t="str">
        <f ca="1">IF(E190="","",_xll.RiskNormal($B$1,$B$2,_xll.RiskTruncate($B$8,$B$9)))</f>
        <v/>
      </c>
      <c r="G190" t="str">
        <f ca="1">IF(F190="","",$B$6+C190*$B$5-SUM($F$2:F190))</f>
        <v/>
      </c>
    </row>
    <row r="191" spans="4:7" x14ac:dyDescent="0.25">
      <c r="D191" t="str">
        <f ca="1">IF(SUM($D$2:D190)&gt;$B$4,"",D190+_xll.RiskExpon($B$3))</f>
        <v/>
      </c>
      <c r="E191" t="str">
        <f t="shared" ca="1" si="2"/>
        <v/>
      </c>
      <c r="F191" t="str">
        <f ca="1">IF(E191="","",_xll.RiskNormal($B$1,$B$2,_xll.RiskTruncate($B$8,$B$9)))</f>
        <v/>
      </c>
      <c r="G191" t="str">
        <f ca="1">IF(F191="","",$B$6+C191*$B$5-SUM($F$2:F191))</f>
        <v/>
      </c>
    </row>
    <row r="192" spans="4:7" x14ac:dyDescent="0.25">
      <c r="D192" t="str">
        <f ca="1">IF(SUM($D$2:D191)&gt;$B$4,"",D191+_xll.RiskExpon($B$3))</f>
        <v/>
      </c>
      <c r="E192" t="str">
        <f t="shared" ca="1" si="2"/>
        <v/>
      </c>
      <c r="F192" t="str">
        <f ca="1">IF(E192="","",_xll.RiskNormal($B$1,$B$2,_xll.RiskTruncate($B$8,$B$9)))</f>
        <v/>
      </c>
      <c r="G192" t="str">
        <f ca="1">IF(F192="","",$B$6+C192*$B$5-SUM($F$2:F192))</f>
        <v/>
      </c>
    </row>
    <row r="193" spans="4:7" x14ac:dyDescent="0.25">
      <c r="D193" t="str">
        <f ca="1">IF(SUM($D$2:D192)&gt;$B$4,"",D192+_xll.RiskExpon($B$3))</f>
        <v/>
      </c>
      <c r="E193" t="str">
        <f t="shared" ca="1" si="2"/>
        <v/>
      </c>
      <c r="F193" t="str">
        <f ca="1">IF(E193="","",_xll.RiskNormal($B$1,$B$2,_xll.RiskTruncate($B$8,$B$9)))</f>
        <v/>
      </c>
      <c r="G193" t="str">
        <f ca="1">IF(F193="","",$B$6+C193*$B$5-SUM($F$2:F193))</f>
        <v/>
      </c>
    </row>
    <row r="194" spans="4:7" x14ac:dyDescent="0.25">
      <c r="D194" t="str">
        <f ca="1">IF(SUM($D$2:D193)&gt;$B$4,"",D193+_xll.RiskExpon($B$3))</f>
        <v/>
      </c>
      <c r="E194" t="str">
        <f t="shared" ca="1" si="2"/>
        <v/>
      </c>
      <c r="F194" t="str">
        <f ca="1">IF(E194="","",_xll.RiskNormal($B$1,$B$2,_xll.RiskTruncate($B$8,$B$9)))</f>
        <v/>
      </c>
      <c r="G194" t="str">
        <f ca="1">IF(F194="","",$B$6+C194*$B$5-SUM($F$2:F194))</f>
        <v/>
      </c>
    </row>
    <row r="195" spans="4:7" x14ac:dyDescent="0.25">
      <c r="D195" t="str">
        <f ca="1">IF(SUM($D$2:D194)&gt;$B$4,"",D194+_xll.RiskExpon($B$3))</f>
        <v/>
      </c>
      <c r="E195" t="str">
        <f t="shared" ca="1" si="2"/>
        <v/>
      </c>
      <c r="F195" t="str">
        <f ca="1">IF(E195="","",_xll.RiskNormal($B$1,$B$2,_xll.RiskTruncate($B$8,$B$9)))</f>
        <v/>
      </c>
      <c r="G195" t="str">
        <f ca="1">IF(F195="","",$B$6+C195*$B$5-SUM($F$2:F195))</f>
        <v/>
      </c>
    </row>
    <row r="196" spans="4:7" x14ac:dyDescent="0.25">
      <c r="D196" t="str">
        <f ca="1">IF(SUM($D$2:D195)&gt;$B$4,"",D195+_xll.RiskExpon($B$3))</f>
        <v/>
      </c>
      <c r="E196" t="str">
        <f t="shared" ref="E196:E259" ca="1" si="3">IF(E195&lt;$B$7,E195+1,"")</f>
        <v/>
      </c>
      <c r="F196" t="str">
        <f ca="1">IF(E196="","",_xll.RiskNormal($B$1,$B$2,_xll.RiskTruncate($B$8,$B$9)))</f>
        <v/>
      </c>
      <c r="G196" t="str">
        <f ca="1">IF(F196="","",$B$6+C196*$B$5-SUM($F$2:F196))</f>
        <v/>
      </c>
    </row>
    <row r="197" spans="4:7" x14ac:dyDescent="0.25">
      <c r="D197" t="str">
        <f ca="1">IF(SUM($D$2:D196)&gt;$B$4,"",D196+_xll.RiskExpon($B$3))</f>
        <v/>
      </c>
      <c r="E197" t="str">
        <f t="shared" ca="1" si="3"/>
        <v/>
      </c>
      <c r="F197" t="str">
        <f ca="1">IF(E197="","",_xll.RiskNormal($B$1,$B$2,_xll.RiskTruncate($B$8,$B$9)))</f>
        <v/>
      </c>
      <c r="G197" t="str">
        <f ca="1">IF(F197="","",$B$6+C197*$B$5-SUM($F$2:F197))</f>
        <v/>
      </c>
    </row>
    <row r="198" spans="4:7" x14ac:dyDescent="0.25">
      <c r="D198" t="str">
        <f ca="1">IF(SUM($D$2:D197)&gt;$B$4,"",D197+_xll.RiskExpon($B$3))</f>
        <v/>
      </c>
      <c r="E198" t="str">
        <f t="shared" ca="1" si="3"/>
        <v/>
      </c>
      <c r="F198" t="str">
        <f ca="1">IF(E198="","",_xll.RiskNormal($B$1,$B$2,_xll.RiskTruncate($B$8,$B$9)))</f>
        <v/>
      </c>
      <c r="G198" t="str">
        <f ca="1">IF(F198="","",$B$6+C198*$B$5-SUM($F$2:F198))</f>
        <v/>
      </c>
    </row>
    <row r="199" spans="4:7" x14ac:dyDescent="0.25">
      <c r="D199" t="str">
        <f ca="1">IF(SUM($D$2:D198)&gt;$B$4,"",D198+_xll.RiskExpon($B$3))</f>
        <v/>
      </c>
      <c r="E199" t="str">
        <f t="shared" ca="1" si="3"/>
        <v/>
      </c>
      <c r="F199" t="str">
        <f ca="1">IF(E199="","",_xll.RiskNormal($B$1,$B$2,_xll.RiskTruncate($B$8,$B$9)))</f>
        <v/>
      </c>
      <c r="G199" t="str">
        <f ca="1">IF(F199="","",$B$6+C199*$B$5-SUM($F$2:F199))</f>
        <v/>
      </c>
    </row>
    <row r="200" spans="4:7" x14ac:dyDescent="0.25">
      <c r="D200" t="str">
        <f ca="1">IF(SUM($D$2:D199)&gt;$B$4,"",D199+_xll.RiskExpon($B$3))</f>
        <v/>
      </c>
      <c r="E200" t="str">
        <f t="shared" ca="1" si="3"/>
        <v/>
      </c>
      <c r="F200" t="str">
        <f ca="1">IF(E200="","",_xll.RiskNormal($B$1,$B$2,_xll.RiskTruncate($B$8,$B$9)))</f>
        <v/>
      </c>
      <c r="G200" t="str">
        <f ca="1">IF(F200="","",$B$6+C200*$B$5-SUM($F$2:F200))</f>
        <v/>
      </c>
    </row>
    <row r="201" spans="4:7" x14ac:dyDescent="0.25">
      <c r="D201" t="str">
        <f ca="1">IF(SUM($D$2:D200)&gt;$B$4,"",D200+_xll.RiskExpon($B$3))</f>
        <v/>
      </c>
      <c r="E201" t="str">
        <f t="shared" ca="1" si="3"/>
        <v/>
      </c>
      <c r="F201" t="str">
        <f ca="1">IF(E201="","",_xll.RiskNormal($B$1,$B$2,_xll.RiskTruncate($B$8,$B$9)))</f>
        <v/>
      </c>
      <c r="G201" t="str">
        <f ca="1">IF(F201="","",$B$6+C201*$B$5-SUM($F$2:F201))</f>
        <v/>
      </c>
    </row>
    <row r="202" spans="4:7" x14ac:dyDescent="0.25">
      <c r="D202" t="str">
        <f ca="1">IF(SUM($D$2:D201)&gt;$B$4,"",D201+_xll.RiskExpon($B$3))</f>
        <v/>
      </c>
      <c r="E202" t="str">
        <f t="shared" ca="1" si="3"/>
        <v/>
      </c>
      <c r="F202" t="str">
        <f ca="1">IF(E202="","",_xll.RiskNormal($B$1,$B$2,_xll.RiskTruncate($B$8,$B$9)))</f>
        <v/>
      </c>
      <c r="G202" t="str">
        <f ca="1">IF(F202="","",$B$6+C202*$B$5-SUM($F$2:F202))</f>
        <v/>
      </c>
    </row>
    <row r="203" spans="4:7" x14ac:dyDescent="0.25">
      <c r="D203" t="str">
        <f ca="1">IF(SUM($D$2:D202)&gt;$B$4,"",D202+_xll.RiskExpon($B$3))</f>
        <v/>
      </c>
      <c r="E203" t="str">
        <f t="shared" ca="1" si="3"/>
        <v/>
      </c>
      <c r="F203" t="str">
        <f ca="1">IF(E203="","",_xll.RiskNormal($B$1,$B$2,_xll.RiskTruncate($B$8,$B$9)))</f>
        <v/>
      </c>
      <c r="G203" t="str">
        <f ca="1">IF(F203="","",$B$6+C203*$B$5-SUM($F$2:F203))</f>
        <v/>
      </c>
    </row>
    <row r="204" spans="4:7" x14ac:dyDescent="0.25">
      <c r="D204" t="str">
        <f ca="1">IF(SUM($D$2:D203)&gt;$B$4,"",D203+_xll.RiskExpon($B$3))</f>
        <v/>
      </c>
      <c r="E204" t="str">
        <f t="shared" ca="1" si="3"/>
        <v/>
      </c>
      <c r="F204" t="str">
        <f ca="1">IF(E204="","",_xll.RiskNormal($B$1,$B$2,_xll.RiskTruncate($B$8,$B$9)))</f>
        <v/>
      </c>
      <c r="G204" t="str">
        <f ca="1">IF(F204="","",$B$6+C204*$B$5-SUM($F$2:F204))</f>
        <v/>
      </c>
    </row>
    <row r="205" spans="4:7" x14ac:dyDescent="0.25">
      <c r="D205" t="str">
        <f ca="1">IF(SUM($D$2:D204)&gt;$B$4,"",D204+_xll.RiskExpon($B$3))</f>
        <v/>
      </c>
      <c r="E205" t="str">
        <f t="shared" ca="1" si="3"/>
        <v/>
      </c>
      <c r="F205" t="str">
        <f ca="1">IF(E205="","",_xll.RiskNormal($B$1,$B$2,_xll.RiskTruncate($B$8,$B$9)))</f>
        <v/>
      </c>
      <c r="G205" t="str">
        <f ca="1">IF(F205="","",$B$6+C205*$B$5-SUM($F$2:F205))</f>
        <v/>
      </c>
    </row>
    <row r="206" spans="4:7" x14ac:dyDescent="0.25">
      <c r="D206" t="str">
        <f ca="1">IF(SUM($D$2:D205)&gt;$B$4,"",D205+_xll.RiskExpon($B$3))</f>
        <v/>
      </c>
      <c r="E206" t="str">
        <f t="shared" ca="1" si="3"/>
        <v/>
      </c>
      <c r="F206" t="str">
        <f ca="1">IF(E206="","",_xll.RiskNormal($B$1,$B$2,_xll.RiskTruncate($B$8,$B$9)))</f>
        <v/>
      </c>
      <c r="G206" t="str">
        <f ca="1">IF(F206="","",$B$6+C206*$B$5-SUM($F$2:F206))</f>
        <v/>
      </c>
    </row>
    <row r="207" spans="4:7" x14ac:dyDescent="0.25">
      <c r="D207" t="str">
        <f ca="1">IF(SUM($D$2:D206)&gt;$B$4,"",D206+_xll.RiskExpon($B$3))</f>
        <v/>
      </c>
      <c r="E207" t="str">
        <f t="shared" ca="1" si="3"/>
        <v/>
      </c>
      <c r="F207" t="str">
        <f ca="1">IF(E207="","",_xll.RiskNormal($B$1,$B$2,_xll.RiskTruncate($B$8,$B$9)))</f>
        <v/>
      </c>
      <c r="G207" t="str">
        <f ca="1">IF(F207="","",$B$6+C207*$B$5-SUM($F$2:F207))</f>
        <v/>
      </c>
    </row>
    <row r="208" spans="4:7" x14ac:dyDescent="0.25">
      <c r="D208" t="str">
        <f ca="1">IF(SUM($D$2:D207)&gt;$B$4,"",D207+_xll.RiskExpon($B$3))</f>
        <v/>
      </c>
      <c r="E208" t="str">
        <f t="shared" ca="1" si="3"/>
        <v/>
      </c>
      <c r="F208" t="str">
        <f ca="1">IF(E208="","",_xll.RiskNormal($B$1,$B$2,_xll.RiskTruncate($B$8,$B$9)))</f>
        <v/>
      </c>
      <c r="G208" t="str">
        <f ca="1">IF(F208="","",$B$6+C208*$B$5-SUM($F$2:F208))</f>
        <v/>
      </c>
    </row>
    <row r="209" spans="4:7" x14ac:dyDescent="0.25">
      <c r="D209" t="str">
        <f ca="1">IF(SUM($D$2:D208)&gt;$B$4,"",D208+_xll.RiskExpon($B$3))</f>
        <v/>
      </c>
      <c r="E209" t="str">
        <f t="shared" ca="1" si="3"/>
        <v/>
      </c>
      <c r="F209" t="str">
        <f ca="1">IF(E209="","",_xll.RiskNormal($B$1,$B$2,_xll.RiskTruncate($B$8,$B$9)))</f>
        <v/>
      </c>
      <c r="G209" t="str">
        <f ca="1">IF(F209="","",$B$6+C209*$B$5-SUM($F$2:F209))</f>
        <v/>
      </c>
    </row>
    <row r="210" spans="4:7" x14ac:dyDescent="0.25">
      <c r="D210" t="str">
        <f ca="1">IF(SUM($D$2:D209)&gt;$B$4,"",D209+_xll.RiskExpon($B$3))</f>
        <v/>
      </c>
      <c r="E210" t="str">
        <f t="shared" ca="1" si="3"/>
        <v/>
      </c>
      <c r="F210" t="str">
        <f ca="1">IF(E210="","",_xll.RiskNormal($B$1,$B$2,_xll.RiskTruncate($B$8,$B$9)))</f>
        <v/>
      </c>
      <c r="G210" t="str">
        <f ca="1">IF(F210="","",$B$6+C210*$B$5-SUM($F$2:F210))</f>
        <v/>
      </c>
    </row>
    <row r="211" spans="4:7" x14ac:dyDescent="0.25">
      <c r="D211" t="str">
        <f ca="1">IF(SUM($D$2:D210)&gt;$B$4,"",D210+_xll.RiskExpon($B$3))</f>
        <v/>
      </c>
      <c r="E211" t="str">
        <f t="shared" ca="1" si="3"/>
        <v/>
      </c>
      <c r="F211" t="str">
        <f ca="1">IF(E211="","",_xll.RiskNormal($B$1,$B$2,_xll.RiskTruncate($B$8,$B$9)))</f>
        <v/>
      </c>
      <c r="G211" t="str">
        <f ca="1">IF(F211="","",$B$6+C211*$B$5-SUM($F$2:F211))</f>
        <v/>
      </c>
    </row>
    <row r="212" spans="4:7" x14ac:dyDescent="0.25">
      <c r="D212" t="str">
        <f ca="1">IF(SUM($D$2:D211)&gt;$B$4,"",D211+_xll.RiskExpon($B$3))</f>
        <v/>
      </c>
      <c r="E212" t="str">
        <f t="shared" ca="1" si="3"/>
        <v/>
      </c>
      <c r="F212" t="str">
        <f ca="1">IF(E212="","",_xll.RiskNormal($B$1,$B$2,_xll.RiskTruncate($B$8,$B$9)))</f>
        <v/>
      </c>
      <c r="G212" t="str">
        <f ca="1">IF(F212="","",$B$6+C212*$B$5-SUM($F$2:F212))</f>
        <v/>
      </c>
    </row>
    <row r="213" spans="4:7" x14ac:dyDescent="0.25">
      <c r="D213" t="str">
        <f ca="1">IF(SUM($D$2:D212)&gt;$B$4,"",D212+_xll.RiskExpon($B$3))</f>
        <v/>
      </c>
      <c r="E213" t="str">
        <f t="shared" ca="1" si="3"/>
        <v/>
      </c>
      <c r="F213" t="str">
        <f ca="1">IF(E213="","",_xll.RiskNormal($B$1,$B$2,_xll.RiskTruncate($B$8,$B$9)))</f>
        <v/>
      </c>
      <c r="G213" t="str">
        <f ca="1">IF(F213="","",$B$6+C213*$B$5-SUM($F$2:F213))</f>
        <v/>
      </c>
    </row>
    <row r="214" spans="4:7" x14ac:dyDescent="0.25">
      <c r="D214" t="str">
        <f ca="1">IF(SUM($D$2:D213)&gt;$B$4,"",D213+_xll.RiskExpon($B$3))</f>
        <v/>
      </c>
      <c r="E214" t="str">
        <f t="shared" ca="1" si="3"/>
        <v/>
      </c>
      <c r="F214" t="str">
        <f ca="1">IF(E214="","",_xll.RiskNormal($B$1,$B$2,_xll.RiskTruncate($B$8,$B$9)))</f>
        <v/>
      </c>
      <c r="G214" t="str">
        <f ca="1">IF(F214="","",$B$6+C214*$B$5-SUM($F$2:F214))</f>
        <v/>
      </c>
    </row>
    <row r="215" spans="4:7" x14ac:dyDescent="0.25">
      <c r="D215" t="str">
        <f ca="1">IF(SUM($D$2:D214)&gt;$B$4,"",D214+_xll.RiskExpon($B$3))</f>
        <v/>
      </c>
      <c r="E215" t="str">
        <f t="shared" ca="1" si="3"/>
        <v/>
      </c>
      <c r="F215" t="str">
        <f ca="1">IF(E215="","",_xll.RiskNormal($B$1,$B$2,_xll.RiskTruncate($B$8,$B$9)))</f>
        <v/>
      </c>
      <c r="G215" t="str">
        <f ca="1">IF(F215="","",$B$6+C215*$B$5-SUM($F$2:F215))</f>
        <v/>
      </c>
    </row>
    <row r="216" spans="4:7" x14ac:dyDescent="0.25">
      <c r="D216" t="str">
        <f ca="1">IF(SUM($D$2:D215)&gt;$B$4,"",D215+_xll.RiskExpon($B$3))</f>
        <v/>
      </c>
      <c r="E216" t="str">
        <f t="shared" ca="1" si="3"/>
        <v/>
      </c>
      <c r="F216" t="str">
        <f ca="1">IF(E216="","",_xll.RiskNormal($B$1,$B$2,_xll.RiskTruncate($B$8,$B$9)))</f>
        <v/>
      </c>
      <c r="G216" t="str">
        <f ca="1">IF(F216="","",$B$6+C216*$B$5-SUM($F$2:F216))</f>
        <v/>
      </c>
    </row>
    <row r="217" spans="4:7" x14ac:dyDescent="0.25">
      <c r="D217" t="str">
        <f ca="1">IF(SUM($D$2:D216)&gt;$B$4,"",D216+_xll.RiskExpon($B$3))</f>
        <v/>
      </c>
      <c r="E217" t="str">
        <f t="shared" ca="1" si="3"/>
        <v/>
      </c>
      <c r="F217" t="str">
        <f ca="1">IF(E217="","",_xll.RiskNormal($B$1,$B$2,_xll.RiskTruncate($B$8,$B$9)))</f>
        <v/>
      </c>
      <c r="G217" t="str">
        <f ca="1">IF(F217="","",$B$6+C217*$B$5-SUM($F$2:F217))</f>
        <v/>
      </c>
    </row>
    <row r="218" spans="4:7" x14ac:dyDescent="0.25">
      <c r="D218" t="str">
        <f ca="1">IF(SUM($D$2:D217)&gt;$B$4,"",D217+_xll.RiskExpon($B$3))</f>
        <v/>
      </c>
      <c r="E218" t="str">
        <f t="shared" ca="1" si="3"/>
        <v/>
      </c>
      <c r="F218" t="str">
        <f ca="1">IF(E218="","",_xll.RiskNormal($B$1,$B$2,_xll.RiskTruncate($B$8,$B$9)))</f>
        <v/>
      </c>
      <c r="G218" t="str">
        <f ca="1">IF(F218="","",$B$6+C218*$B$5-SUM($F$2:F218))</f>
        <v/>
      </c>
    </row>
    <row r="219" spans="4:7" x14ac:dyDescent="0.25">
      <c r="D219" t="str">
        <f ca="1">IF(SUM($D$2:D218)&gt;$B$4,"",D218+_xll.RiskExpon($B$3))</f>
        <v/>
      </c>
      <c r="E219" t="str">
        <f t="shared" ca="1" si="3"/>
        <v/>
      </c>
      <c r="F219" t="str">
        <f ca="1">IF(E219="","",_xll.RiskNormal($B$1,$B$2,_xll.RiskTruncate($B$8,$B$9)))</f>
        <v/>
      </c>
      <c r="G219" t="str">
        <f ca="1">IF(F219="","",$B$6+C219*$B$5-SUM($F$2:F219))</f>
        <v/>
      </c>
    </row>
    <row r="220" spans="4:7" x14ac:dyDescent="0.25">
      <c r="D220" t="str">
        <f ca="1">IF(SUM($D$2:D219)&gt;$B$4,"",D219+_xll.RiskExpon($B$3))</f>
        <v/>
      </c>
      <c r="E220" t="str">
        <f t="shared" ca="1" si="3"/>
        <v/>
      </c>
      <c r="F220" t="str">
        <f ca="1">IF(E220="","",_xll.RiskNormal($B$1,$B$2,_xll.RiskTruncate($B$8,$B$9)))</f>
        <v/>
      </c>
      <c r="G220" t="str">
        <f ca="1">IF(F220="","",$B$6+C220*$B$5-SUM($F$2:F220))</f>
        <v/>
      </c>
    </row>
    <row r="221" spans="4:7" x14ac:dyDescent="0.25">
      <c r="D221" t="str">
        <f ca="1">IF(SUM($D$2:D220)&gt;$B$4,"",D220+_xll.RiskExpon($B$3))</f>
        <v/>
      </c>
      <c r="E221" t="str">
        <f t="shared" ca="1" si="3"/>
        <v/>
      </c>
      <c r="F221" t="str">
        <f ca="1">IF(E221="","",_xll.RiskNormal($B$1,$B$2,_xll.RiskTruncate($B$8,$B$9)))</f>
        <v/>
      </c>
      <c r="G221" t="str">
        <f ca="1">IF(F221="","",$B$6+C221*$B$5-SUM($F$2:F221))</f>
        <v/>
      </c>
    </row>
    <row r="222" spans="4:7" x14ac:dyDescent="0.25">
      <c r="D222" t="str">
        <f ca="1">IF(SUM($D$2:D221)&gt;$B$4,"",D221+_xll.RiskExpon($B$3))</f>
        <v/>
      </c>
      <c r="E222" t="str">
        <f t="shared" ca="1" si="3"/>
        <v/>
      </c>
      <c r="F222" t="str">
        <f ca="1">IF(E222="","",_xll.RiskNormal($B$1,$B$2,_xll.RiskTruncate($B$8,$B$9)))</f>
        <v/>
      </c>
      <c r="G222" t="str">
        <f ca="1">IF(F222="","",$B$6+C222*$B$5-SUM($F$2:F222))</f>
        <v/>
      </c>
    </row>
    <row r="223" spans="4:7" x14ac:dyDescent="0.25">
      <c r="D223" t="str">
        <f ca="1">IF(SUM($D$2:D222)&gt;$B$4,"",D222+_xll.RiskExpon($B$3))</f>
        <v/>
      </c>
      <c r="E223" t="str">
        <f t="shared" ca="1" si="3"/>
        <v/>
      </c>
      <c r="F223" t="str">
        <f ca="1">IF(E223="","",_xll.RiskNormal($B$1,$B$2,_xll.RiskTruncate($B$8,$B$9)))</f>
        <v/>
      </c>
      <c r="G223" t="str">
        <f ca="1">IF(F223="","",$B$6+C223*$B$5-SUM($F$2:F223))</f>
        <v/>
      </c>
    </row>
    <row r="224" spans="4:7" x14ac:dyDescent="0.25">
      <c r="D224" t="str">
        <f ca="1">IF(SUM($D$2:D223)&gt;$B$4,"",D223+_xll.RiskExpon($B$3))</f>
        <v/>
      </c>
      <c r="E224" t="str">
        <f t="shared" ca="1" si="3"/>
        <v/>
      </c>
      <c r="F224" t="str">
        <f ca="1">IF(E224="","",_xll.RiskNormal($B$1,$B$2,_xll.RiskTruncate($B$8,$B$9)))</f>
        <v/>
      </c>
      <c r="G224" t="str">
        <f ca="1">IF(F224="","",$B$6+C224*$B$5-SUM($F$2:F224))</f>
        <v/>
      </c>
    </row>
    <row r="225" spans="4:7" x14ac:dyDescent="0.25">
      <c r="D225" t="str">
        <f ca="1">IF(SUM($D$2:D224)&gt;$B$4,"",D224+_xll.RiskExpon($B$3))</f>
        <v/>
      </c>
      <c r="E225" t="str">
        <f t="shared" ca="1" si="3"/>
        <v/>
      </c>
      <c r="F225" t="str">
        <f ca="1">IF(E225="","",_xll.RiskNormal($B$1,$B$2,_xll.RiskTruncate($B$8,$B$9)))</f>
        <v/>
      </c>
      <c r="G225" t="str">
        <f ca="1">IF(F225="","",$B$6+C225*$B$5-SUM($F$2:F225))</f>
        <v/>
      </c>
    </row>
    <row r="226" spans="4:7" x14ac:dyDescent="0.25">
      <c r="D226" t="str">
        <f ca="1">IF(SUM($D$2:D225)&gt;$B$4,"",D225+_xll.RiskExpon($B$3))</f>
        <v/>
      </c>
      <c r="E226" t="str">
        <f t="shared" ca="1" si="3"/>
        <v/>
      </c>
      <c r="F226" t="str">
        <f ca="1">IF(E226="","",_xll.RiskNormal($B$1,$B$2,_xll.RiskTruncate($B$8,$B$9)))</f>
        <v/>
      </c>
      <c r="G226" t="str">
        <f ca="1">IF(F226="","",$B$6+C226*$B$5-SUM($F$2:F226))</f>
        <v/>
      </c>
    </row>
    <row r="227" spans="4:7" x14ac:dyDescent="0.25">
      <c r="D227" t="str">
        <f ca="1">IF(SUM($D$2:D226)&gt;$B$4,"",D226+_xll.RiskExpon($B$3))</f>
        <v/>
      </c>
      <c r="E227" t="str">
        <f t="shared" ca="1" si="3"/>
        <v/>
      </c>
      <c r="F227" t="str">
        <f ca="1">IF(E227="","",_xll.RiskNormal($B$1,$B$2,_xll.RiskTruncate($B$8,$B$9)))</f>
        <v/>
      </c>
      <c r="G227" t="str">
        <f ca="1">IF(F227="","",$B$6+C227*$B$5-SUM($F$2:F227))</f>
        <v/>
      </c>
    </row>
    <row r="228" spans="4:7" x14ac:dyDescent="0.25">
      <c r="D228" t="str">
        <f ca="1">IF(SUM($D$2:D227)&gt;$B$4,"",D227+_xll.RiskExpon($B$3))</f>
        <v/>
      </c>
      <c r="E228" t="str">
        <f t="shared" ca="1" si="3"/>
        <v/>
      </c>
      <c r="F228" t="str">
        <f ca="1">IF(E228="","",_xll.RiskNormal($B$1,$B$2,_xll.RiskTruncate($B$8,$B$9)))</f>
        <v/>
      </c>
      <c r="G228" t="str">
        <f ca="1">IF(F228="","",$B$6+C228*$B$5-SUM($F$2:F228))</f>
        <v/>
      </c>
    </row>
    <row r="229" spans="4:7" x14ac:dyDescent="0.25">
      <c r="D229" t="str">
        <f ca="1">IF(SUM($D$2:D228)&gt;$B$4,"",D228+_xll.RiskExpon($B$3))</f>
        <v/>
      </c>
      <c r="E229" t="str">
        <f t="shared" ca="1" si="3"/>
        <v/>
      </c>
      <c r="F229" t="str">
        <f ca="1">IF(E229="","",_xll.RiskNormal($B$1,$B$2,_xll.RiskTruncate($B$8,$B$9)))</f>
        <v/>
      </c>
      <c r="G229" t="str">
        <f ca="1">IF(F229="","",$B$6+C229*$B$5-SUM($F$2:F229))</f>
        <v/>
      </c>
    </row>
    <row r="230" spans="4:7" x14ac:dyDescent="0.25">
      <c r="D230" t="str">
        <f ca="1">IF(SUM($D$2:D229)&gt;$B$4,"",D229+_xll.RiskExpon($B$3))</f>
        <v/>
      </c>
      <c r="E230" t="str">
        <f t="shared" ca="1" si="3"/>
        <v/>
      </c>
      <c r="F230" t="str">
        <f ca="1">IF(E230="","",_xll.RiskNormal($B$1,$B$2,_xll.RiskTruncate($B$8,$B$9)))</f>
        <v/>
      </c>
      <c r="G230" t="str">
        <f ca="1">IF(F230="","",$B$6+C230*$B$5-SUM($F$2:F230))</f>
        <v/>
      </c>
    </row>
    <row r="231" spans="4:7" x14ac:dyDescent="0.25">
      <c r="D231" t="str">
        <f ca="1">IF(SUM($D$2:D230)&gt;$B$4,"",D230+_xll.RiskExpon($B$3))</f>
        <v/>
      </c>
      <c r="E231" t="str">
        <f t="shared" ca="1" si="3"/>
        <v/>
      </c>
      <c r="F231" t="str">
        <f ca="1">IF(E231="","",_xll.RiskNormal($B$1,$B$2,_xll.RiskTruncate($B$8,$B$9)))</f>
        <v/>
      </c>
      <c r="G231" t="str">
        <f ca="1">IF(F231="","",$B$6+C231*$B$5-SUM($F$2:F231))</f>
        <v/>
      </c>
    </row>
    <row r="232" spans="4:7" x14ac:dyDescent="0.25">
      <c r="D232" t="str">
        <f ca="1">IF(SUM($D$2:D231)&gt;$B$4,"",D231+_xll.RiskExpon($B$3))</f>
        <v/>
      </c>
      <c r="E232" t="str">
        <f t="shared" ca="1" si="3"/>
        <v/>
      </c>
      <c r="F232" t="str">
        <f ca="1">IF(E232="","",_xll.RiskNormal($B$1,$B$2,_xll.RiskTruncate($B$8,$B$9)))</f>
        <v/>
      </c>
      <c r="G232" t="str">
        <f ca="1">IF(F232="","",$B$6+C232*$B$5-SUM($F$2:F232))</f>
        <v/>
      </c>
    </row>
    <row r="233" spans="4:7" x14ac:dyDescent="0.25">
      <c r="D233" t="str">
        <f ca="1">IF(SUM($D$2:D232)&gt;$B$4,"",D232+_xll.RiskExpon($B$3))</f>
        <v/>
      </c>
      <c r="E233" t="str">
        <f t="shared" ca="1" si="3"/>
        <v/>
      </c>
      <c r="F233" t="str">
        <f ca="1">IF(E233="","",_xll.RiskNormal($B$1,$B$2,_xll.RiskTruncate($B$8,$B$9)))</f>
        <v/>
      </c>
      <c r="G233" t="str">
        <f ca="1">IF(F233="","",$B$6+C233*$B$5-SUM($F$2:F233))</f>
        <v/>
      </c>
    </row>
    <row r="234" spans="4:7" x14ac:dyDescent="0.25">
      <c r="D234" t="str">
        <f ca="1">IF(SUM($D$2:D233)&gt;$B$4,"",D233+_xll.RiskExpon($B$3))</f>
        <v/>
      </c>
      <c r="E234" t="str">
        <f t="shared" ca="1" si="3"/>
        <v/>
      </c>
      <c r="F234" t="str">
        <f ca="1">IF(E234="","",_xll.RiskNormal($B$1,$B$2,_xll.RiskTruncate($B$8,$B$9)))</f>
        <v/>
      </c>
      <c r="G234" t="str">
        <f ca="1">IF(F234="","",$B$6+C234*$B$5-SUM($F$2:F234))</f>
        <v/>
      </c>
    </row>
    <row r="235" spans="4:7" x14ac:dyDescent="0.25">
      <c r="D235" t="str">
        <f ca="1">IF(SUM($D$2:D234)&gt;$B$4,"",D234+_xll.RiskExpon($B$3))</f>
        <v/>
      </c>
      <c r="E235" t="str">
        <f t="shared" ca="1" si="3"/>
        <v/>
      </c>
      <c r="F235" t="str">
        <f ca="1">IF(E235="","",_xll.RiskNormal($B$1,$B$2,_xll.RiskTruncate($B$8,$B$9)))</f>
        <v/>
      </c>
      <c r="G235" t="str">
        <f ca="1">IF(F235="","",$B$6+C235*$B$5-SUM($F$2:F235))</f>
        <v/>
      </c>
    </row>
    <row r="236" spans="4:7" x14ac:dyDescent="0.25">
      <c r="D236" t="str">
        <f ca="1">IF(SUM($D$2:D235)&gt;$B$4,"",D235+_xll.RiskExpon($B$3))</f>
        <v/>
      </c>
      <c r="E236" t="str">
        <f t="shared" ca="1" si="3"/>
        <v/>
      </c>
      <c r="F236" t="str">
        <f ca="1">IF(E236="","",_xll.RiskNormal($B$1,$B$2,_xll.RiskTruncate($B$8,$B$9)))</f>
        <v/>
      </c>
      <c r="G236" t="str">
        <f ca="1">IF(F236="","",$B$6+C236*$B$5-SUM($F$2:F236))</f>
        <v/>
      </c>
    </row>
    <row r="237" spans="4:7" x14ac:dyDescent="0.25">
      <c r="D237" t="str">
        <f ca="1">IF(SUM($D$2:D236)&gt;$B$4,"",D236+_xll.RiskExpon($B$3))</f>
        <v/>
      </c>
      <c r="E237" t="str">
        <f t="shared" ca="1" si="3"/>
        <v/>
      </c>
      <c r="F237" t="str">
        <f ca="1">IF(E237="","",_xll.RiskNormal($B$1,$B$2,_xll.RiskTruncate($B$8,$B$9)))</f>
        <v/>
      </c>
      <c r="G237" t="str">
        <f ca="1">IF(F237="","",$B$6+C237*$B$5-SUM($F$2:F237))</f>
        <v/>
      </c>
    </row>
    <row r="238" spans="4:7" x14ac:dyDescent="0.25">
      <c r="D238" t="str">
        <f ca="1">IF(SUM($D$2:D237)&gt;$B$4,"",D237+_xll.RiskExpon($B$3))</f>
        <v/>
      </c>
      <c r="E238" t="str">
        <f t="shared" ca="1" si="3"/>
        <v/>
      </c>
      <c r="F238" t="str">
        <f ca="1">IF(E238="","",_xll.RiskNormal($B$1,$B$2,_xll.RiskTruncate($B$8,$B$9)))</f>
        <v/>
      </c>
      <c r="G238" t="str">
        <f ca="1">IF(F238="","",$B$6+C238*$B$5-SUM($F$2:F238))</f>
        <v/>
      </c>
    </row>
    <row r="239" spans="4:7" x14ac:dyDescent="0.25">
      <c r="D239" t="str">
        <f ca="1">IF(SUM($D$2:D238)&gt;$B$4,"",D238+_xll.RiskExpon($B$3))</f>
        <v/>
      </c>
      <c r="E239" t="str">
        <f t="shared" ca="1" si="3"/>
        <v/>
      </c>
      <c r="F239" t="str">
        <f ca="1">IF(E239="","",_xll.RiskNormal($B$1,$B$2,_xll.RiskTruncate($B$8,$B$9)))</f>
        <v/>
      </c>
      <c r="G239" t="str">
        <f ca="1">IF(F239="","",$B$6+C239*$B$5-SUM($F$2:F239))</f>
        <v/>
      </c>
    </row>
    <row r="240" spans="4:7" x14ac:dyDescent="0.25">
      <c r="D240" t="str">
        <f ca="1">IF(SUM($D$2:D239)&gt;$B$4,"",D239+_xll.RiskExpon($B$3))</f>
        <v/>
      </c>
      <c r="E240" t="str">
        <f t="shared" ca="1" si="3"/>
        <v/>
      </c>
      <c r="F240" t="str">
        <f ca="1">IF(E240="","",_xll.RiskNormal($B$1,$B$2,_xll.RiskTruncate($B$8,$B$9)))</f>
        <v/>
      </c>
      <c r="G240" t="str">
        <f ca="1">IF(F240="","",$B$6+C240*$B$5-SUM($F$2:F240))</f>
        <v/>
      </c>
    </row>
    <row r="241" spans="4:7" x14ac:dyDescent="0.25">
      <c r="D241" t="str">
        <f ca="1">IF(SUM($D$2:D240)&gt;$B$4,"",D240+_xll.RiskExpon($B$3))</f>
        <v/>
      </c>
      <c r="E241" t="str">
        <f t="shared" ca="1" si="3"/>
        <v/>
      </c>
      <c r="F241" t="str">
        <f ca="1">IF(E241="","",_xll.RiskNormal($B$1,$B$2,_xll.RiskTruncate($B$8,$B$9)))</f>
        <v/>
      </c>
      <c r="G241" t="str">
        <f ca="1">IF(F241="","",$B$6+C241*$B$5-SUM($F$2:F241))</f>
        <v/>
      </c>
    </row>
    <row r="242" spans="4:7" x14ac:dyDescent="0.25">
      <c r="D242" t="str">
        <f ca="1">IF(SUM($D$2:D241)&gt;$B$4,"",D241+_xll.RiskExpon($B$3))</f>
        <v/>
      </c>
      <c r="E242" t="str">
        <f t="shared" ca="1" si="3"/>
        <v/>
      </c>
      <c r="F242" t="str">
        <f ca="1">IF(E242="","",_xll.RiskNormal($B$1,$B$2,_xll.RiskTruncate($B$8,$B$9)))</f>
        <v/>
      </c>
      <c r="G242" t="str">
        <f ca="1">IF(F242="","",$B$6+C242*$B$5-SUM($F$2:F242))</f>
        <v/>
      </c>
    </row>
    <row r="243" spans="4:7" x14ac:dyDescent="0.25">
      <c r="D243" t="str">
        <f ca="1">IF(SUM($D$2:D242)&gt;$B$4,"",D242+_xll.RiskExpon($B$3))</f>
        <v/>
      </c>
      <c r="E243" t="str">
        <f t="shared" ca="1" si="3"/>
        <v/>
      </c>
      <c r="F243" t="str">
        <f ca="1">IF(E243="","",_xll.RiskNormal($B$1,$B$2,_xll.RiskTruncate($B$8,$B$9)))</f>
        <v/>
      </c>
      <c r="G243" t="str">
        <f ca="1">IF(F243="","",$B$6+C243*$B$5-SUM($F$2:F243))</f>
        <v/>
      </c>
    </row>
    <row r="244" spans="4:7" x14ac:dyDescent="0.25">
      <c r="D244" t="str">
        <f ca="1">IF(SUM($D$2:D243)&gt;$B$4,"",D243+_xll.RiskExpon($B$3))</f>
        <v/>
      </c>
      <c r="E244" t="str">
        <f t="shared" ca="1" si="3"/>
        <v/>
      </c>
      <c r="F244" t="str">
        <f ca="1">IF(E244="","",_xll.RiskNormal($B$1,$B$2,_xll.RiskTruncate($B$8,$B$9)))</f>
        <v/>
      </c>
      <c r="G244" t="str">
        <f ca="1">IF(F244="","",$B$6+C244*$B$5-SUM($F$2:F244))</f>
        <v/>
      </c>
    </row>
    <row r="245" spans="4:7" x14ac:dyDescent="0.25">
      <c r="D245" t="str">
        <f ca="1">IF(SUM($D$2:D244)&gt;$B$4,"",D244+_xll.RiskExpon($B$3))</f>
        <v/>
      </c>
      <c r="E245" t="str">
        <f t="shared" ca="1" si="3"/>
        <v/>
      </c>
      <c r="F245" t="str">
        <f ca="1">IF(E245="","",_xll.RiskNormal($B$1,$B$2,_xll.RiskTruncate($B$8,$B$9)))</f>
        <v/>
      </c>
      <c r="G245" t="str">
        <f ca="1">IF(F245="","",$B$6+C245*$B$5-SUM($F$2:F245))</f>
        <v/>
      </c>
    </row>
    <row r="246" spans="4:7" x14ac:dyDescent="0.25">
      <c r="D246" t="str">
        <f ca="1">IF(SUM($D$2:D245)&gt;$B$4,"",D245+_xll.RiskExpon($B$3))</f>
        <v/>
      </c>
      <c r="E246" t="str">
        <f t="shared" ca="1" si="3"/>
        <v/>
      </c>
      <c r="F246" t="str">
        <f ca="1">IF(E246="","",_xll.RiskNormal($B$1,$B$2,_xll.RiskTruncate($B$8,$B$9)))</f>
        <v/>
      </c>
      <c r="G246" t="str">
        <f ca="1">IF(F246="","",$B$6+C246*$B$5-SUM($F$2:F246))</f>
        <v/>
      </c>
    </row>
    <row r="247" spans="4:7" x14ac:dyDescent="0.25">
      <c r="D247" t="str">
        <f ca="1">IF(SUM($D$2:D246)&gt;$B$4,"",D246+_xll.RiskExpon($B$3))</f>
        <v/>
      </c>
      <c r="E247" t="str">
        <f t="shared" ca="1" si="3"/>
        <v/>
      </c>
      <c r="F247" t="str">
        <f ca="1">IF(E247="","",_xll.RiskNormal($B$1,$B$2,_xll.RiskTruncate($B$8,$B$9)))</f>
        <v/>
      </c>
      <c r="G247" t="str">
        <f ca="1">IF(F247="","",$B$6+C247*$B$5-SUM($F$2:F247))</f>
        <v/>
      </c>
    </row>
    <row r="248" spans="4:7" x14ac:dyDescent="0.25">
      <c r="D248" t="str">
        <f ca="1">IF(SUM($D$2:D247)&gt;$B$4,"",D247+_xll.RiskExpon($B$3))</f>
        <v/>
      </c>
      <c r="E248" t="str">
        <f t="shared" ca="1" si="3"/>
        <v/>
      </c>
      <c r="F248" t="str">
        <f ca="1">IF(E248="","",_xll.RiskNormal($B$1,$B$2,_xll.RiskTruncate($B$8,$B$9)))</f>
        <v/>
      </c>
      <c r="G248" t="str">
        <f ca="1">IF(F248="","",$B$6+C248*$B$5-SUM($F$2:F248))</f>
        <v/>
      </c>
    </row>
    <row r="249" spans="4:7" x14ac:dyDescent="0.25">
      <c r="D249" t="str">
        <f ca="1">IF(SUM($D$2:D248)&gt;$B$4,"",D248+_xll.RiskExpon($B$3))</f>
        <v/>
      </c>
      <c r="E249" t="str">
        <f t="shared" ca="1" si="3"/>
        <v/>
      </c>
      <c r="F249" t="str">
        <f ca="1">IF(E249="","",_xll.RiskNormal($B$1,$B$2,_xll.RiskTruncate($B$8,$B$9)))</f>
        <v/>
      </c>
      <c r="G249" t="str">
        <f ca="1">IF(F249="","",$B$6+C249*$B$5-SUM($F$2:F249))</f>
        <v/>
      </c>
    </row>
    <row r="250" spans="4:7" x14ac:dyDescent="0.25">
      <c r="D250" t="str">
        <f ca="1">IF(SUM($D$2:D249)&gt;$B$4,"",D249+_xll.RiskExpon($B$3))</f>
        <v/>
      </c>
      <c r="E250" t="str">
        <f t="shared" ca="1" si="3"/>
        <v/>
      </c>
      <c r="F250" t="str">
        <f ca="1">IF(E250="","",_xll.RiskNormal($B$1,$B$2,_xll.RiskTruncate($B$8,$B$9)))</f>
        <v/>
      </c>
      <c r="G250" t="str">
        <f ca="1">IF(F250="","",$B$6+C250*$B$5-SUM($F$2:F250))</f>
        <v/>
      </c>
    </row>
    <row r="251" spans="4:7" x14ac:dyDescent="0.25">
      <c r="D251" t="str">
        <f ca="1">IF(SUM($D$2:D250)&gt;$B$4,"",D250+_xll.RiskExpon($B$3))</f>
        <v/>
      </c>
      <c r="E251" t="str">
        <f t="shared" ca="1" si="3"/>
        <v/>
      </c>
      <c r="F251" t="str">
        <f ca="1">IF(E251="","",_xll.RiskNormal($B$1,$B$2,_xll.RiskTruncate($B$8,$B$9)))</f>
        <v/>
      </c>
      <c r="G251" t="str">
        <f ca="1">IF(F251="","",$B$6+C251*$B$5-SUM($F$2:F251))</f>
        <v/>
      </c>
    </row>
    <row r="252" spans="4:7" x14ac:dyDescent="0.25">
      <c r="D252" t="str">
        <f ca="1">IF(SUM($D$2:D251)&gt;$B$4,"",D251+_xll.RiskExpon($B$3))</f>
        <v/>
      </c>
      <c r="E252" t="str">
        <f t="shared" ca="1" si="3"/>
        <v/>
      </c>
      <c r="F252" t="str">
        <f ca="1">IF(E252="","",_xll.RiskNormal($B$1,$B$2,_xll.RiskTruncate($B$8,$B$9)))</f>
        <v/>
      </c>
      <c r="G252" t="str">
        <f ca="1">IF(F252="","",$B$6+C252*$B$5-SUM($F$2:F252))</f>
        <v/>
      </c>
    </row>
    <row r="253" spans="4:7" x14ac:dyDescent="0.25">
      <c r="D253" t="str">
        <f ca="1">IF(SUM($D$2:D252)&gt;$B$4,"",D252+_xll.RiskExpon($B$3))</f>
        <v/>
      </c>
      <c r="E253" t="str">
        <f t="shared" ca="1" si="3"/>
        <v/>
      </c>
      <c r="F253" t="str">
        <f ca="1">IF(E253="","",_xll.RiskNormal($B$1,$B$2,_xll.RiskTruncate($B$8,$B$9)))</f>
        <v/>
      </c>
      <c r="G253" t="str">
        <f ca="1">IF(F253="","",$B$6+C253*$B$5-SUM($F$2:F253))</f>
        <v/>
      </c>
    </row>
    <row r="254" spans="4:7" x14ac:dyDescent="0.25">
      <c r="D254" t="str">
        <f ca="1">IF(SUM($D$2:D253)&gt;$B$4,"",D253+_xll.RiskExpon($B$3))</f>
        <v/>
      </c>
      <c r="E254" t="str">
        <f t="shared" ca="1" si="3"/>
        <v/>
      </c>
      <c r="F254" t="str">
        <f ca="1">IF(E254="","",_xll.RiskNormal($B$1,$B$2,_xll.RiskTruncate($B$8,$B$9)))</f>
        <v/>
      </c>
      <c r="G254" t="str">
        <f ca="1">IF(F254="","",$B$6+C254*$B$5-SUM($F$2:F254))</f>
        <v/>
      </c>
    </row>
    <row r="255" spans="4:7" x14ac:dyDescent="0.25">
      <c r="D255" t="str">
        <f ca="1">IF(SUM($D$2:D254)&gt;$B$4,"",D254+_xll.RiskExpon($B$3))</f>
        <v/>
      </c>
      <c r="E255" t="str">
        <f t="shared" ca="1" si="3"/>
        <v/>
      </c>
      <c r="F255" t="str">
        <f ca="1">IF(E255="","",_xll.RiskNormal($B$1,$B$2,_xll.RiskTruncate($B$8,$B$9)))</f>
        <v/>
      </c>
      <c r="G255" t="str">
        <f ca="1">IF(F255="","",$B$6+C255*$B$5-SUM($F$2:F255))</f>
        <v/>
      </c>
    </row>
    <row r="256" spans="4:7" x14ac:dyDescent="0.25">
      <c r="D256" t="str">
        <f ca="1">IF(SUM($D$2:D255)&gt;$B$4,"",D255+_xll.RiskExpon($B$3))</f>
        <v/>
      </c>
      <c r="E256" t="str">
        <f t="shared" ca="1" si="3"/>
        <v/>
      </c>
      <c r="F256" t="str">
        <f ca="1">IF(E256="","",_xll.RiskNormal($B$1,$B$2,_xll.RiskTruncate($B$8,$B$9)))</f>
        <v/>
      </c>
      <c r="G256" t="str">
        <f ca="1">IF(F256="","",$B$6+C256*$B$5-SUM($F$2:F256))</f>
        <v/>
      </c>
    </row>
    <row r="257" spans="4:7" x14ac:dyDescent="0.25">
      <c r="D257" t="str">
        <f ca="1">IF(SUM($D$2:D256)&gt;$B$4,"",D256+_xll.RiskExpon($B$3))</f>
        <v/>
      </c>
      <c r="E257" t="str">
        <f t="shared" ca="1" si="3"/>
        <v/>
      </c>
      <c r="F257" t="str">
        <f ca="1">IF(E257="","",_xll.RiskNormal($B$1,$B$2,_xll.RiskTruncate($B$8,$B$9)))</f>
        <v/>
      </c>
      <c r="G257" t="str">
        <f ca="1">IF(F257="","",$B$6+C257*$B$5-SUM($F$2:F257))</f>
        <v/>
      </c>
    </row>
    <row r="258" spans="4:7" x14ac:dyDescent="0.25">
      <c r="D258" t="str">
        <f ca="1">IF(SUM($D$2:D257)&gt;$B$4,"",D257+_xll.RiskExpon($B$3))</f>
        <v/>
      </c>
      <c r="E258" t="str">
        <f t="shared" ca="1" si="3"/>
        <v/>
      </c>
      <c r="F258" t="str">
        <f ca="1">IF(E258="","",_xll.RiskNormal($B$1,$B$2,_xll.RiskTruncate($B$8,$B$9)))</f>
        <v/>
      </c>
      <c r="G258" t="str">
        <f ca="1">IF(F258="","",$B$6+C258*$B$5-SUM($F$2:F258))</f>
        <v/>
      </c>
    </row>
    <row r="259" spans="4:7" x14ac:dyDescent="0.25">
      <c r="D259" t="str">
        <f ca="1">IF(SUM($D$2:D258)&gt;$B$4,"",D258+_xll.RiskExpon($B$3))</f>
        <v/>
      </c>
      <c r="E259" t="str">
        <f t="shared" ca="1" si="3"/>
        <v/>
      </c>
      <c r="F259" t="str">
        <f ca="1">IF(E259="","",_xll.RiskNormal($B$1,$B$2,_xll.RiskTruncate($B$8,$B$9)))</f>
        <v/>
      </c>
      <c r="G259" t="str">
        <f ca="1">IF(F259="","",$B$6+C259*$B$5-SUM($F$2:F259))</f>
        <v/>
      </c>
    </row>
    <row r="260" spans="4:7" x14ac:dyDescent="0.25">
      <c r="D260" t="str">
        <f ca="1">IF(SUM($D$2:D259)&gt;$B$4,"",D259+_xll.RiskExpon($B$3))</f>
        <v/>
      </c>
      <c r="E260" t="str">
        <f t="shared" ref="E260:E323" ca="1" si="4">IF(E259&lt;$B$7,E259+1,"")</f>
        <v/>
      </c>
      <c r="F260" t="str">
        <f ca="1">IF(E260="","",_xll.RiskNormal($B$1,$B$2,_xll.RiskTruncate($B$8,$B$9)))</f>
        <v/>
      </c>
      <c r="G260" t="str">
        <f ca="1">IF(F260="","",$B$6+C260*$B$5-SUM($F$2:F260))</f>
        <v/>
      </c>
    </row>
    <row r="261" spans="4:7" x14ac:dyDescent="0.25">
      <c r="D261" t="str">
        <f ca="1">IF(SUM($D$2:D260)&gt;$B$4,"",D260+_xll.RiskExpon($B$3))</f>
        <v/>
      </c>
      <c r="E261" t="str">
        <f t="shared" ca="1" si="4"/>
        <v/>
      </c>
      <c r="F261" t="str">
        <f ca="1">IF(E261="","",_xll.RiskNormal($B$1,$B$2,_xll.RiskTruncate($B$8,$B$9)))</f>
        <v/>
      </c>
      <c r="G261" t="str">
        <f ca="1">IF(F261="","",$B$6+C261*$B$5-SUM($F$2:F261))</f>
        <v/>
      </c>
    </row>
    <row r="262" spans="4:7" x14ac:dyDescent="0.25">
      <c r="D262" t="str">
        <f ca="1">IF(SUM($D$2:D261)&gt;$B$4,"",D261+_xll.RiskExpon($B$3))</f>
        <v/>
      </c>
      <c r="E262" t="str">
        <f t="shared" ca="1" si="4"/>
        <v/>
      </c>
      <c r="F262" t="str">
        <f ca="1">IF(E262="","",_xll.RiskNormal($B$1,$B$2,_xll.RiskTruncate($B$8,$B$9)))</f>
        <v/>
      </c>
      <c r="G262" t="str">
        <f ca="1">IF(F262="","",$B$6+C262*$B$5-SUM($F$2:F262))</f>
        <v/>
      </c>
    </row>
    <row r="263" spans="4:7" x14ac:dyDescent="0.25">
      <c r="D263" t="str">
        <f ca="1">IF(SUM($D$2:D262)&gt;$B$4,"",D262+_xll.RiskExpon($B$3))</f>
        <v/>
      </c>
      <c r="E263" t="str">
        <f t="shared" ca="1" si="4"/>
        <v/>
      </c>
      <c r="F263" t="str">
        <f ca="1">IF(E263="","",_xll.RiskNormal($B$1,$B$2,_xll.RiskTruncate($B$8,$B$9)))</f>
        <v/>
      </c>
      <c r="G263" t="str">
        <f ca="1">IF(F263="","",$B$6+C263*$B$5-SUM($F$2:F263))</f>
        <v/>
      </c>
    </row>
    <row r="264" spans="4:7" x14ac:dyDescent="0.25">
      <c r="D264" t="str">
        <f ca="1">IF(SUM($D$2:D263)&gt;$B$4,"",D263+_xll.RiskExpon($B$3))</f>
        <v/>
      </c>
      <c r="E264" t="str">
        <f t="shared" ca="1" si="4"/>
        <v/>
      </c>
      <c r="F264" t="str">
        <f ca="1">IF(E264="","",_xll.RiskNormal($B$1,$B$2,_xll.RiskTruncate($B$8,$B$9)))</f>
        <v/>
      </c>
      <c r="G264" t="str">
        <f ca="1">IF(F264="","",$B$6+C264*$B$5-SUM($F$2:F264))</f>
        <v/>
      </c>
    </row>
    <row r="265" spans="4:7" x14ac:dyDescent="0.25">
      <c r="D265" t="str">
        <f ca="1">IF(SUM($D$2:D264)&gt;$B$4,"",D264+_xll.RiskExpon($B$3))</f>
        <v/>
      </c>
      <c r="E265" t="str">
        <f t="shared" ca="1" si="4"/>
        <v/>
      </c>
      <c r="F265" t="str">
        <f ca="1">IF(E265="","",_xll.RiskNormal($B$1,$B$2,_xll.RiskTruncate($B$8,$B$9)))</f>
        <v/>
      </c>
      <c r="G265" t="str">
        <f ca="1">IF(F265="","",$B$6+C265*$B$5-SUM($F$2:F265))</f>
        <v/>
      </c>
    </row>
    <row r="266" spans="4:7" x14ac:dyDescent="0.25">
      <c r="D266" t="str">
        <f ca="1">IF(SUM($D$2:D265)&gt;$B$4,"",D265+_xll.RiskExpon($B$3))</f>
        <v/>
      </c>
      <c r="E266" t="str">
        <f t="shared" ca="1" si="4"/>
        <v/>
      </c>
      <c r="F266" t="str">
        <f ca="1">IF(E266="","",_xll.RiskNormal($B$1,$B$2,_xll.RiskTruncate($B$8,$B$9)))</f>
        <v/>
      </c>
      <c r="G266" t="str">
        <f ca="1">IF(F266="","",$B$6+C266*$B$5-SUM($F$2:F266))</f>
        <v/>
      </c>
    </row>
    <row r="267" spans="4:7" x14ac:dyDescent="0.25">
      <c r="D267" t="str">
        <f ca="1">IF(SUM($D$2:D266)&gt;$B$4,"",D266+_xll.RiskExpon($B$3))</f>
        <v/>
      </c>
      <c r="E267" t="str">
        <f t="shared" ca="1" si="4"/>
        <v/>
      </c>
      <c r="F267" t="str">
        <f ca="1">IF(E267="","",_xll.RiskNormal($B$1,$B$2,_xll.RiskTruncate($B$8,$B$9)))</f>
        <v/>
      </c>
      <c r="G267" t="str">
        <f ca="1">IF(F267="","",$B$6+C267*$B$5-SUM($F$2:F267))</f>
        <v/>
      </c>
    </row>
    <row r="268" spans="4:7" x14ac:dyDescent="0.25">
      <c r="D268" t="str">
        <f ca="1">IF(SUM($D$2:D267)&gt;$B$4,"",D267+_xll.RiskExpon($B$3))</f>
        <v/>
      </c>
      <c r="E268" t="str">
        <f t="shared" ca="1" si="4"/>
        <v/>
      </c>
      <c r="F268" t="str">
        <f ca="1">IF(E268="","",_xll.RiskNormal($B$1,$B$2,_xll.RiskTruncate($B$8,$B$9)))</f>
        <v/>
      </c>
      <c r="G268" t="str">
        <f ca="1">IF(F268="","",$B$6+C268*$B$5-SUM($F$2:F268))</f>
        <v/>
      </c>
    </row>
    <row r="269" spans="4:7" x14ac:dyDescent="0.25">
      <c r="D269" t="str">
        <f ca="1">IF(SUM($D$2:D268)&gt;$B$4,"",D268+_xll.RiskExpon($B$3))</f>
        <v/>
      </c>
      <c r="E269" t="str">
        <f t="shared" ca="1" si="4"/>
        <v/>
      </c>
      <c r="F269" t="str">
        <f ca="1">IF(E269="","",_xll.RiskNormal($B$1,$B$2,_xll.RiskTruncate($B$8,$B$9)))</f>
        <v/>
      </c>
      <c r="G269" t="str">
        <f ca="1">IF(F269="","",$B$6+C269*$B$5-SUM($F$2:F269))</f>
        <v/>
      </c>
    </row>
    <row r="270" spans="4:7" x14ac:dyDescent="0.25">
      <c r="D270" t="str">
        <f ca="1">IF(SUM($D$2:D269)&gt;$B$4,"",D269+_xll.RiskExpon($B$3))</f>
        <v/>
      </c>
      <c r="E270" t="str">
        <f t="shared" ca="1" si="4"/>
        <v/>
      </c>
      <c r="F270" t="str">
        <f ca="1">IF(E270="","",_xll.RiskNormal($B$1,$B$2,_xll.RiskTruncate($B$8,$B$9)))</f>
        <v/>
      </c>
      <c r="G270" t="str">
        <f ca="1">IF(F270="","",$B$6+C270*$B$5-SUM($F$2:F270))</f>
        <v/>
      </c>
    </row>
    <row r="271" spans="4:7" x14ac:dyDescent="0.25">
      <c r="D271" t="str">
        <f ca="1">IF(SUM($D$2:D270)&gt;$B$4,"",D270+_xll.RiskExpon($B$3))</f>
        <v/>
      </c>
      <c r="E271" t="str">
        <f t="shared" ca="1" si="4"/>
        <v/>
      </c>
      <c r="F271" t="str">
        <f ca="1">IF(E271="","",_xll.RiskNormal($B$1,$B$2,_xll.RiskTruncate($B$8,$B$9)))</f>
        <v/>
      </c>
      <c r="G271" t="str">
        <f ca="1">IF(F271="","",$B$6+C271*$B$5-SUM($F$2:F271))</f>
        <v/>
      </c>
    </row>
    <row r="272" spans="4:7" x14ac:dyDescent="0.25">
      <c r="D272" t="str">
        <f ca="1">IF(SUM($D$2:D271)&gt;$B$4,"",D271+_xll.RiskExpon($B$3))</f>
        <v/>
      </c>
      <c r="E272" t="str">
        <f t="shared" ca="1" si="4"/>
        <v/>
      </c>
      <c r="F272" t="str">
        <f ca="1">IF(E272="","",_xll.RiskNormal($B$1,$B$2,_xll.RiskTruncate($B$8,$B$9)))</f>
        <v/>
      </c>
      <c r="G272" t="str">
        <f ca="1">IF(F272="","",$B$6+C272*$B$5-SUM($F$2:F272))</f>
        <v/>
      </c>
    </row>
    <row r="273" spans="4:7" x14ac:dyDescent="0.25">
      <c r="D273" t="str">
        <f ca="1">IF(SUM($D$2:D272)&gt;$B$4,"",D272+_xll.RiskExpon($B$3))</f>
        <v/>
      </c>
      <c r="E273" t="str">
        <f t="shared" ca="1" si="4"/>
        <v/>
      </c>
      <c r="F273" t="str">
        <f ca="1">IF(E273="","",_xll.RiskNormal($B$1,$B$2,_xll.RiskTruncate($B$8,$B$9)))</f>
        <v/>
      </c>
      <c r="G273" t="str">
        <f ca="1">IF(F273="","",$B$6+C273*$B$5-SUM($F$2:F273))</f>
        <v/>
      </c>
    </row>
    <row r="274" spans="4:7" x14ac:dyDescent="0.25">
      <c r="D274" t="str">
        <f ca="1">IF(SUM($D$2:D273)&gt;$B$4,"",D273+_xll.RiskExpon($B$3))</f>
        <v/>
      </c>
      <c r="E274" t="str">
        <f t="shared" ca="1" si="4"/>
        <v/>
      </c>
      <c r="F274" t="str">
        <f ca="1">IF(E274="","",_xll.RiskNormal($B$1,$B$2,_xll.RiskTruncate($B$8,$B$9)))</f>
        <v/>
      </c>
      <c r="G274" t="str">
        <f ca="1">IF(F274="","",$B$6+C274*$B$5-SUM($F$2:F274))</f>
        <v/>
      </c>
    </row>
    <row r="275" spans="4:7" x14ac:dyDescent="0.25">
      <c r="D275" t="str">
        <f ca="1">IF(SUM($D$2:D274)&gt;$B$4,"",D274+_xll.RiskExpon($B$3))</f>
        <v/>
      </c>
      <c r="E275" t="str">
        <f t="shared" ca="1" si="4"/>
        <v/>
      </c>
      <c r="F275" t="str">
        <f ca="1">IF(E275="","",_xll.RiskNormal($B$1,$B$2,_xll.RiskTruncate($B$8,$B$9)))</f>
        <v/>
      </c>
      <c r="G275" t="str">
        <f ca="1">IF(F275="","",$B$6+C275*$B$5-SUM($F$2:F275))</f>
        <v/>
      </c>
    </row>
    <row r="276" spans="4:7" x14ac:dyDescent="0.25">
      <c r="D276" t="str">
        <f ca="1">IF(SUM($D$2:D275)&gt;$B$4,"",D275+_xll.RiskExpon($B$3))</f>
        <v/>
      </c>
      <c r="E276" t="str">
        <f t="shared" ca="1" si="4"/>
        <v/>
      </c>
      <c r="F276" t="str">
        <f ca="1">IF(E276="","",_xll.RiskNormal($B$1,$B$2,_xll.RiskTruncate($B$8,$B$9)))</f>
        <v/>
      </c>
      <c r="G276" t="str">
        <f ca="1">IF(F276="","",$B$6+C276*$B$5-SUM($F$2:F276))</f>
        <v/>
      </c>
    </row>
    <row r="277" spans="4:7" x14ac:dyDescent="0.25">
      <c r="D277" t="str">
        <f ca="1">IF(SUM($D$2:D276)&gt;$B$4,"",D276+_xll.RiskExpon($B$3))</f>
        <v/>
      </c>
      <c r="E277" t="str">
        <f t="shared" ca="1" si="4"/>
        <v/>
      </c>
      <c r="F277" t="str">
        <f ca="1">IF(E277="","",_xll.RiskNormal($B$1,$B$2,_xll.RiskTruncate($B$8,$B$9)))</f>
        <v/>
      </c>
      <c r="G277" t="str">
        <f ca="1">IF(F277="","",$B$6+C277*$B$5-SUM($F$2:F277))</f>
        <v/>
      </c>
    </row>
    <row r="278" spans="4:7" x14ac:dyDescent="0.25">
      <c r="D278" t="str">
        <f ca="1">IF(SUM($D$2:D277)&gt;$B$4,"",D277+_xll.RiskExpon($B$3))</f>
        <v/>
      </c>
      <c r="E278" t="str">
        <f t="shared" ca="1" si="4"/>
        <v/>
      </c>
      <c r="F278" t="str">
        <f ca="1">IF(E278="","",_xll.RiskNormal($B$1,$B$2,_xll.RiskTruncate($B$8,$B$9)))</f>
        <v/>
      </c>
      <c r="G278" t="str">
        <f ca="1">IF(F278="","",$B$6+C278*$B$5-SUM($F$2:F278))</f>
        <v/>
      </c>
    </row>
    <row r="279" spans="4:7" x14ac:dyDescent="0.25">
      <c r="D279" t="str">
        <f ca="1">IF(SUM($D$2:D278)&gt;$B$4,"",D278+_xll.RiskExpon($B$3))</f>
        <v/>
      </c>
      <c r="E279" t="str">
        <f t="shared" ca="1" si="4"/>
        <v/>
      </c>
      <c r="F279" t="str">
        <f ca="1">IF(E279="","",_xll.RiskNormal($B$1,$B$2,_xll.RiskTruncate($B$8,$B$9)))</f>
        <v/>
      </c>
      <c r="G279" t="str">
        <f ca="1">IF(F279="","",$B$6+C279*$B$5-SUM($F$2:F279))</f>
        <v/>
      </c>
    </row>
    <row r="280" spans="4:7" x14ac:dyDescent="0.25">
      <c r="D280" t="str">
        <f ca="1">IF(SUM($D$2:D279)&gt;$B$4,"",D279+_xll.RiskExpon($B$3))</f>
        <v/>
      </c>
      <c r="E280" t="str">
        <f t="shared" ca="1" si="4"/>
        <v/>
      </c>
      <c r="F280" t="str">
        <f ca="1">IF(E280="","",_xll.RiskNormal($B$1,$B$2,_xll.RiskTruncate($B$8,$B$9)))</f>
        <v/>
      </c>
      <c r="G280" t="str">
        <f ca="1">IF(F280="","",$B$6+C280*$B$5-SUM($F$2:F280))</f>
        <v/>
      </c>
    </row>
    <row r="281" spans="4:7" x14ac:dyDescent="0.25">
      <c r="D281" t="str">
        <f ca="1">IF(SUM($D$2:D280)&gt;$B$4,"",D280+_xll.RiskExpon($B$3))</f>
        <v/>
      </c>
      <c r="E281" t="str">
        <f t="shared" ca="1" si="4"/>
        <v/>
      </c>
      <c r="F281" t="str">
        <f ca="1">IF(E281="","",_xll.RiskNormal($B$1,$B$2,_xll.RiskTruncate($B$8,$B$9)))</f>
        <v/>
      </c>
      <c r="G281" t="str">
        <f ca="1">IF(F281="","",$B$6+C281*$B$5-SUM($F$2:F281))</f>
        <v/>
      </c>
    </row>
    <row r="282" spans="4:7" x14ac:dyDescent="0.25">
      <c r="D282" t="str">
        <f ca="1">IF(SUM($D$2:D281)&gt;$B$4,"",D281+_xll.RiskExpon($B$3))</f>
        <v/>
      </c>
      <c r="E282" t="str">
        <f t="shared" ca="1" si="4"/>
        <v/>
      </c>
      <c r="F282" t="str">
        <f ca="1">IF(E282="","",_xll.RiskNormal($B$1,$B$2,_xll.RiskTruncate($B$8,$B$9)))</f>
        <v/>
      </c>
      <c r="G282" t="str">
        <f ca="1">IF(F282="","",$B$6+C282*$B$5-SUM($F$2:F282))</f>
        <v/>
      </c>
    </row>
    <row r="283" spans="4:7" x14ac:dyDescent="0.25">
      <c r="D283" t="str">
        <f ca="1">IF(SUM($D$2:D282)&gt;$B$4,"",D282+_xll.RiskExpon($B$3))</f>
        <v/>
      </c>
      <c r="E283" t="str">
        <f t="shared" ca="1" si="4"/>
        <v/>
      </c>
      <c r="F283" t="str">
        <f ca="1">IF(E283="","",_xll.RiskNormal($B$1,$B$2,_xll.RiskTruncate($B$8,$B$9)))</f>
        <v/>
      </c>
      <c r="G283" t="str">
        <f ca="1">IF(F283="","",$B$6+C283*$B$5-SUM($F$2:F283))</f>
        <v/>
      </c>
    </row>
    <row r="284" spans="4:7" x14ac:dyDescent="0.25">
      <c r="D284" t="str">
        <f ca="1">IF(SUM($D$2:D283)&gt;$B$4,"",D283+_xll.RiskExpon($B$3))</f>
        <v/>
      </c>
      <c r="E284" t="str">
        <f t="shared" ca="1" si="4"/>
        <v/>
      </c>
      <c r="F284" t="str">
        <f ca="1">IF(E284="","",_xll.RiskNormal($B$1,$B$2,_xll.RiskTruncate($B$8,$B$9)))</f>
        <v/>
      </c>
      <c r="G284" t="str">
        <f ca="1">IF(F284="","",$B$6+C284*$B$5-SUM($F$2:F284))</f>
        <v/>
      </c>
    </row>
    <row r="285" spans="4:7" x14ac:dyDescent="0.25">
      <c r="D285" t="str">
        <f ca="1">IF(SUM($D$2:D284)&gt;$B$4,"",D284+_xll.RiskExpon($B$3))</f>
        <v/>
      </c>
      <c r="E285" t="str">
        <f t="shared" ca="1" si="4"/>
        <v/>
      </c>
      <c r="F285" t="str">
        <f ca="1">IF(E285="","",_xll.RiskNormal($B$1,$B$2,_xll.RiskTruncate($B$8,$B$9)))</f>
        <v/>
      </c>
      <c r="G285" t="str">
        <f ca="1">IF(F285="","",$B$6+C285*$B$5-SUM($F$2:F285))</f>
        <v/>
      </c>
    </row>
    <row r="286" spans="4:7" x14ac:dyDescent="0.25">
      <c r="D286" t="str">
        <f ca="1">IF(SUM($D$2:D285)&gt;$B$4,"",D285+_xll.RiskExpon($B$3))</f>
        <v/>
      </c>
      <c r="E286" t="str">
        <f t="shared" ca="1" si="4"/>
        <v/>
      </c>
      <c r="F286" t="str">
        <f ca="1">IF(E286="","",_xll.RiskNormal($B$1,$B$2,_xll.RiskTruncate($B$8,$B$9)))</f>
        <v/>
      </c>
      <c r="G286" t="str">
        <f ca="1">IF(F286="","",$B$6+C286*$B$5-SUM($F$2:F286))</f>
        <v/>
      </c>
    </row>
    <row r="287" spans="4:7" x14ac:dyDescent="0.25">
      <c r="D287" t="str">
        <f ca="1">IF(SUM($D$2:D286)&gt;$B$4,"",D286+_xll.RiskExpon($B$3))</f>
        <v/>
      </c>
      <c r="E287" t="str">
        <f t="shared" ca="1" si="4"/>
        <v/>
      </c>
      <c r="F287" t="str">
        <f ca="1">IF(E287="","",_xll.RiskNormal($B$1,$B$2,_xll.RiskTruncate($B$8,$B$9)))</f>
        <v/>
      </c>
      <c r="G287" t="str">
        <f ca="1">IF(F287="","",$B$6+C287*$B$5-SUM($F$2:F287))</f>
        <v/>
      </c>
    </row>
    <row r="288" spans="4:7" x14ac:dyDescent="0.25">
      <c r="D288" t="str">
        <f ca="1">IF(SUM($D$2:D287)&gt;$B$4,"",D287+_xll.RiskExpon($B$3))</f>
        <v/>
      </c>
      <c r="E288" t="str">
        <f t="shared" ca="1" si="4"/>
        <v/>
      </c>
      <c r="F288" t="str">
        <f ca="1">IF(E288="","",_xll.RiskNormal($B$1,$B$2,_xll.RiskTruncate($B$8,$B$9)))</f>
        <v/>
      </c>
      <c r="G288" t="str">
        <f ca="1">IF(F288="","",$B$6+C288*$B$5-SUM($F$2:F288))</f>
        <v/>
      </c>
    </row>
    <row r="289" spans="4:7" x14ac:dyDescent="0.25">
      <c r="D289" t="str">
        <f ca="1">IF(SUM($D$2:D288)&gt;$B$4,"",D288+_xll.RiskExpon($B$3))</f>
        <v/>
      </c>
      <c r="E289" t="str">
        <f t="shared" ca="1" si="4"/>
        <v/>
      </c>
      <c r="F289" t="str">
        <f ca="1">IF(E289="","",_xll.RiskNormal($B$1,$B$2,_xll.RiskTruncate($B$8,$B$9)))</f>
        <v/>
      </c>
      <c r="G289" t="str">
        <f ca="1">IF(F289="","",$B$6+C289*$B$5-SUM($F$2:F289))</f>
        <v/>
      </c>
    </row>
    <row r="290" spans="4:7" x14ac:dyDescent="0.25">
      <c r="D290" t="str">
        <f ca="1">IF(SUM($D$2:D289)&gt;$B$4,"",D289+_xll.RiskExpon($B$3))</f>
        <v/>
      </c>
      <c r="E290" t="str">
        <f t="shared" ca="1" si="4"/>
        <v/>
      </c>
      <c r="F290" t="str">
        <f ca="1">IF(E290="","",_xll.RiskNormal($B$1,$B$2,_xll.RiskTruncate($B$8,$B$9)))</f>
        <v/>
      </c>
      <c r="G290" t="str">
        <f ca="1">IF(F290="","",$B$6+C290*$B$5-SUM($F$2:F290))</f>
        <v/>
      </c>
    </row>
    <row r="291" spans="4:7" x14ac:dyDescent="0.25">
      <c r="D291" t="str">
        <f ca="1">IF(SUM($D$2:D290)&gt;$B$4,"",D290+_xll.RiskExpon($B$3))</f>
        <v/>
      </c>
      <c r="E291" t="str">
        <f t="shared" ca="1" si="4"/>
        <v/>
      </c>
      <c r="F291" t="str">
        <f ca="1">IF(E291="","",_xll.RiskNormal($B$1,$B$2,_xll.RiskTruncate($B$8,$B$9)))</f>
        <v/>
      </c>
      <c r="G291" t="str">
        <f ca="1">IF(F291="","",$B$6+C291*$B$5-SUM($F$2:F291))</f>
        <v/>
      </c>
    </row>
    <row r="292" spans="4:7" x14ac:dyDescent="0.25">
      <c r="D292" t="str">
        <f ca="1">IF(SUM($D$2:D291)&gt;$B$4,"",D291+_xll.RiskExpon($B$3))</f>
        <v/>
      </c>
      <c r="E292" t="str">
        <f t="shared" ca="1" si="4"/>
        <v/>
      </c>
      <c r="F292" t="str">
        <f ca="1">IF(E292="","",_xll.RiskNormal($B$1,$B$2,_xll.RiskTruncate($B$8,$B$9)))</f>
        <v/>
      </c>
      <c r="G292" t="str">
        <f ca="1">IF(F292="","",$B$6+C292*$B$5-SUM($F$2:F292))</f>
        <v/>
      </c>
    </row>
    <row r="293" spans="4:7" x14ac:dyDescent="0.25">
      <c r="D293" t="str">
        <f ca="1">IF(SUM($D$2:D292)&gt;$B$4,"",D292+_xll.RiskExpon($B$3))</f>
        <v/>
      </c>
      <c r="E293" t="str">
        <f t="shared" ca="1" si="4"/>
        <v/>
      </c>
      <c r="F293" t="str">
        <f ca="1">IF(E293="","",_xll.RiskNormal($B$1,$B$2,_xll.RiskTruncate($B$8,$B$9)))</f>
        <v/>
      </c>
      <c r="G293" t="str">
        <f ca="1">IF(F293="","",$B$6+C293*$B$5-SUM($F$2:F293))</f>
        <v/>
      </c>
    </row>
    <row r="294" spans="4:7" x14ac:dyDescent="0.25">
      <c r="D294" t="str">
        <f ca="1">IF(SUM($D$2:D293)&gt;$B$4,"",D293+_xll.RiskExpon($B$3))</f>
        <v/>
      </c>
      <c r="E294" t="str">
        <f t="shared" ca="1" si="4"/>
        <v/>
      </c>
      <c r="F294" t="str">
        <f ca="1">IF(E294="","",_xll.RiskNormal($B$1,$B$2,_xll.RiskTruncate($B$8,$B$9)))</f>
        <v/>
      </c>
      <c r="G294" t="str">
        <f ca="1">IF(F294="","",$B$6+C294*$B$5-SUM($F$2:F294))</f>
        <v/>
      </c>
    </row>
    <row r="295" spans="4:7" x14ac:dyDescent="0.25">
      <c r="D295" t="str">
        <f ca="1">IF(SUM($D$2:D294)&gt;$B$4,"",D294+_xll.RiskExpon($B$3))</f>
        <v/>
      </c>
      <c r="E295" t="str">
        <f t="shared" ca="1" si="4"/>
        <v/>
      </c>
      <c r="F295" t="str">
        <f ca="1">IF(E295="","",_xll.RiskNormal($B$1,$B$2,_xll.RiskTruncate($B$8,$B$9)))</f>
        <v/>
      </c>
      <c r="G295" t="str">
        <f ca="1">IF(F295="","",$B$6+C295*$B$5-SUM($F$2:F295))</f>
        <v/>
      </c>
    </row>
    <row r="296" spans="4:7" x14ac:dyDescent="0.25">
      <c r="D296" t="str">
        <f ca="1">IF(SUM($D$2:D295)&gt;$B$4,"",D295+_xll.RiskExpon($B$3))</f>
        <v/>
      </c>
      <c r="E296" t="str">
        <f t="shared" ca="1" si="4"/>
        <v/>
      </c>
      <c r="F296" t="str">
        <f ca="1">IF(E296="","",_xll.RiskNormal($B$1,$B$2,_xll.RiskTruncate($B$8,$B$9)))</f>
        <v/>
      </c>
      <c r="G296" t="str">
        <f ca="1">IF(F296="","",$B$6+C296*$B$5-SUM($F$2:F296))</f>
        <v/>
      </c>
    </row>
    <row r="297" spans="4:7" x14ac:dyDescent="0.25">
      <c r="D297" t="str">
        <f ca="1">IF(SUM($D$2:D296)&gt;$B$4,"",D296+_xll.RiskExpon($B$3))</f>
        <v/>
      </c>
      <c r="E297" t="str">
        <f t="shared" ca="1" si="4"/>
        <v/>
      </c>
      <c r="F297" t="str">
        <f ca="1">IF(E297="","",_xll.RiskNormal($B$1,$B$2,_xll.RiskTruncate($B$8,$B$9)))</f>
        <v/>
      </c>
      <c r="G297" t="str">
        <f ca="1">IF(F297="","",$B$6+C297*$B$5-SUM($F$2:F297))</f>
        <v/>
      </c>
    </row>
    <row r="298" spans="4:7" x14ac:dyDescent="0.25">
      <c r="D298" t="str">
        <f ca="1">IF(SUM($D$2:D297)&gt;$B$4,"",D297+_xll.RiskExpon($B$3))</f>
        <v/>
      </c>
      <c r="E298" t="str">
        <f t="shared" ca="1" si="4"/>
        <v/>
      </c>
      <c r="F298" t="str">
        <f ca="1">IF(E298="","",_xll.RiskNormal($B$1,$B$2,_xll.RiskTruncate($B$8,$B$9)))</f>
        <v/>
      </c>
      <c r="G298" t="str">
        <f ca="1">IF(F298="","",$B$6+C298*$B$5-SUM($F$2:F298))</f>
        <v/>
      </c>
    </row>
    <row r="299" spans="4:7" x14ac:dyDescent="0.25">
      <c r="D299" t="str">
        <f ca="1">IF(SUM($D$2:D298)&gt;$B$4,"",D298+_xll.RiskExpon($B$3))</f>
        <v/>
      </c>
      <c r="E299" t="str">
        <f t="shared" ca="1" si="4"/>
        <v/>
      </c>
      <c r="F299" t="str">
        <f ca="1">IF(E299="","",_xll.RiskNormal($B$1,$B$2,_xll.RiskTruncate($B$8,$B$9)))</f>
        <v/>
      </c>
      <c r="G299" t="str">
        <f ca="1">IF(F299="","",$B$6+C299*$B$5-SUM($F$2:F299))</f>
        <v/>
      </c>
    </row>
    <row r="300" spans="4:7" x14ac:dyDescent="0.25">
      <c r="D300" t="str">
        <f ca="1">IF(SUM($D$2:D299)&gt;$B$4,"",D299+_xll.RiskExpon($B$3))</f>
        <v/>
      </c>
      <c r="E300" t="str">
        <f t="shared" ca="1" si="4"/>
        <v/>
      </c>
      <c r="F300" t="str">
        <f ca="1">IF(E300="","",_xll.RiskNormal($B$1,$B$2,_xll.RiskTruncate($B$8,$B$9)))</f>
        <v/>
      </c>
      <c r="G300" t="str">
        <f ca="1">IF(F300="","",$B$6+C300*$B$5-SUM($F$2:F300))</f>
        <v/>
      </c>
    </row>
    <row r="301" spans="4:7" x14ac:dyDescent="0.25">
      <c r="D301" t="str">
        <f ca="1">IF(SUM($D$2:D300)&gt;$B$4,"",D300+_xll.RiskExpon($B$3))</f>
        <v/>
      </c>
      <c r="E301" t="str">
        <f t="shared" ca="1" si="4"/>
        <v/>
      </c>
      <c r="F301" t="str">
        <f ca="1">IF(E301="","",_xll.RiskNormal($B$1,$B$2,_xll.RiskTruncate($B$8,$B$9)))</f>
        <v/>
      </c>
      <c r="G301" t="str">
        <f ca="1">IF(F301="","",$B$6+C301*$B$5-SUM($F$2:F301))</f>
        <v/>
      </c>
    </row>
    <row r="302" spans="4:7" x14ac:dyDescent="0.25">
      <c r="D302" t="str">
        <f ca="1">IF(SUM($D$2:D301)&gt;$B$4,"",D301+_xll.RiskExpon($B$3))</f>
        <v/>
      </c>
      <c r="E302" t="str">
        <f t="shared" ca="1" si="4"/>
        <v/>
      </c>
      <c r="F302" t="str">
        <f ca="1">IF(E302="","",_xll.RiskNormal($B$1,$B$2,_xll.RiskTruncate($B$8,$B$9)))</f>
        <v/>
      </c>
      <c r="G302" t="str">
        <f ca="1">IF(F302="","",$B$6+C302*$B$5-SUM($F$2:F302))</f>
        <v/>
      </c>
    </row>
    <row r="303" spans="4:7" x14ac:dyDescent="0.25">
      <c r="D303" t="str">
        <f ca="1">IF(SUM($D$2:D302)&gt;$B$4,"",D302+_xll.RiskExpon($B$3))</f>
        <v/>
      </c>
      <c r="E303" t="str">
        <f t="shared" ca="1" si="4"/>
        <v/>
      </c>
      <c r="F303" t="str">
        <f ca="1">IF(E303="","",_xll.RiskNormal($B$1,$B$2,_xll.RiskTruncate($B$8,$B$9)))</f>
        <v/>
      </c>
      <c r="G303" t="str">
        <f ca="1">IF(F303="","",$B$6+C303*$B$5-SUM($F$2:F303))</f>
        <v/>
      </c>
    </row>
    <row r="304" spans="4:7" x14ac:dyDescent="0.25">
      <c r="D304" t="str">
        <f ca="1">IF(SUM($D$2:D303)&gt;$B$4,"",D303+_xll.RiskExpon($B$3))</f>
        <v/>
      </c>
      <c r="E304" t="str">
        <f t="shared" ca="1" si="4"/>
        <v/>
      </c>
      <c r="F304" t="str">
        <f ca="1">IF(E304="","",_xll.RiskNormal($B$1,$B$2,_xll.RiskTruncate($B$8,$B$9)))</f>
        <v/>
      </c>
      <c r="G304" t="str">
        <f ca="1">IF(F304="","",$B$6+C304*$B$5-SUM($F$2:F304))</f>
        <v/>
      </c>
    </row>
    <row r="305" spans="4:7" x14ac:dyDescent="0.25">
      <c r="D305" t="str">
        <f ca="1">IF(SUM($D$2:D304)&gt;$B$4,"",D304+_xll.RiskExpon($B$3))</f>
        <v/>
      </c>
      <c r="E305" t="str">
        <f t="shared" ca="1" si="4"/>
        <v/>
      </c>
      <c r="F305" t="str">
        <f ca="1">IF(E305="","",_xll.RiskNormal($B$1,$B$2,_xll.RiskTruncate($B$8,$B$9)))</f>
        <v/>
      </c>
      <c r="G305" t="str">
        <f ca="1">IF(F305="","",$B$6+C305*$B$5-SUM($F$2:F305))</f>
        <v/>
      </c>
    </row>
    <row r="306" spans="4:7" x14ac:dyDescent="0.25">
      <c r="D306" t="str">
        <f ca="1">IF(SUM($D$2:D305)&gt;$B$4,"",D305+_xll.RiskExpon($B$3))</f>
        <v/>
      </c>
      <c r="E306" t="str">
        <f t="shared" ca="1" si="4"/>
        <v/>
      </c>
      <c r="F306" t="str">
        <f ca="1">IF(E306="","",_xll.RiskNormal($B$1,$B$2,_xll.RiskTruncate($B$8,$B$9)))</f>
        <v/>
      </c>
      <c r="G306" t="str">
        <f ca="1">IF(F306="","",$B$6+C306*$B$5-SUM($F$2:F306))</f>
        <v/>
      </c>
    </row>
    <row r="307" spans="4:7" x14ac:dyDescent="0.25">
      <c r="D307" t="str">
        <f ca="1">IF(SUM($D$2:D306)&gt;$B$4,"",D306+_xll.RiskExpon($B$3))</f>
        <v/>
      </c>
      <c r="E307" t="str">
        <f t="shared" ca="1" si="4"/>
        <v/>
      </c>
      <c r="F307" t="str">
        <f ca="1">IF(E307="","",_xll.RiskNormal($B$1,$B$2,_xll.RiskTruncate($B$8,$B$9)))</f>
        <v/>
      </c>
      <c r="G307" t="str">
        <f ca="1">IF(F307="","",$B$6+C307*$B$5-SUM($F$2:F307))</f>
        <v/>
      </c>
    </row>
    <row r="308" spans="4:7" x14ac:dyDescent="0.25">
      <c r="D308" t="str">
        <f ca="1">IF(SUM($D$2:D307)&gt;$B$4,"",D307+_xll.RiskExpon($B$3))</f>
        <v/>
      </c>
      <c r="E308" t="str">
        <f t="shared" ca="1" si="4"/>
        <v/>
      </c>
      <c r="F308" t="str">
        <f ca="1">IF(E308="","",_xll.RiskNormal($B$1,$B$2,_xll.RiskTruncate($B$8,$B$9)))</f>
        <v/>
      </c>
      <c r="G308" t="str">
        <f ca="1">IF(F308="","",$B$6+C308*$B$5-SUM($F$2:F308))</f>
        <v/>
      </c>
    </row>
    <row r="309" spans="4:7" x14ac:dyDescent="0.25">
      <c r="D309" t="str">
        <f ca="1">IF(SUM($D$2:D308)&gt;$B$4,"",D308+_xll.RiskExpon($B$3))</f>
        <v/>
      </c>
      <c r="E309" t="str">
        <f t="shared" ca="1" si="4"/>
        <v/>
      </c>
      <c r="F309" t="str">
        <f ca="1">IF(E309="","",_xll.RiskNormal($B$1,$B$2,_xll.RiskTruncate($B$8,$B$9)))</f>
        <v/>
      </c>
      <c r="G309" t="str">
        <f ca="1">IF(F309="","",$B$6+C309*$B$5-SUM($F$2:F309))</f>
        <v/>
      </c>
    </row>
    <row r="310" spans="4:7" x14ac:dyDescent="0.25">
      <c r="D310" t="str">
        <f ca="1">IF(SUM($D$2:D309)&gt;$B$4,"",D309+_xll.RiskExpon($B$3))</f>
        <v/>
      </c>
      <c r="E310" t="str">
        <f t="shared" ca="1" si="4"/>
        <v/>
      </c>
      <c r="F310" t="str">
        <f ca="1">IF(E310="","",_xll.RiskNormal($B$1,$B$2,_xll.RiskTruncate($B$8,$B$9)))</f>
        <v/>
      </c>
      <c r="G310" t="str">
        <f ca="1">IF(F310="","",$B$6+C310*$B$5-SUM($F$2:F310))</f>
        <v/>
      </c>
    </row>
    <row r="311" spans="4:7" x14ac:dyDescent="0.25">
      <c r="D311" t="str">
        <f ca="1">IF(SUM($D$2:D310)&gt;$B$4,"",D310+_xll.RiskExpon($B$3))</f>
        <v/>
      </c>
      <c r="E311" t="str">
        <f t="shared" ca="1" si="4"/>
        <v/>
      </c>
      <c r="F311" t="str">
        <f ca="1">IF(E311="","",_xll.RiskNormal($B$1,$B$2,_xll.RiskTruncate($B$8,$B$9)))</f>
        <v/>
      </c>
      <c r="G311" t="str">
        <f ca="1">IF(F311="","",$B$6+C311*$B$5-SUM($F$2:F311))</f>
        <v/>
      </c>
    </row>
    <row r="312" spans="4:7" x14ac:dyDescent="0.25">
      <c r="D312" t="str">
        <f ca="1">IF(SUM($D$2:D311)&gt;$B$4,"",D311+_xll.RiskExpon($B$3))</f>
        <v/>
      </c>
      <c r="E312" t="str">
        <f t="shared" ca="1" si="4"/>
        <v/>
      </c>
      <c r="F312" t="str">
        <f ca="1">IF(E312="","",_xll.RiskNormal($B$1,$B$2,_xll.RiskTruncate($B$8,$B$9)))</f>
        <v/>
      </c>
      <c r="G312" t="str">
        <f ca="1">IF(F312="","",$B$6+C312*$B$5-SUM($F$2:F312))</f>
        <v/>
      </c>
    </row>
    <row r="313" spans="4:7" x14ac:dyDescent="0.25">
      <c r="D313" t="str">
        <f ca="1">IF(SUM($D$2:D312)&gt;$B$4,"",D312+_xll.RiskExpon($B$3))</f>
        <v/>
      </c>
      <c r="E313" t="str">
        <f t="shared" ca="1" si="4"/>
        <v/>
      </c>
      <c r="F313" t="str">
        <f ca="1">IF(E313="","",_xll.RiskNormal($B$1,$B$2,_xll.RiskTruncate($B$8,$B$9)))</f>
        <v/>
      </c>
      <c r="G313" t="str">
        <f ca="1">IF(F313="","",$B$6+C313*$B$5-SUM($F$2:F313))</f>
        <v/>
      </c>
    </row>
    <row r="314" spans="4:7" x14ac:dyDescent="0.25">
      <c r="D314" t="str">
        <f ca="1">IF(SUM($D$2:D313)&gt;$B$4,"",D313+_xll.RiskExpon($B$3))</f>
        <v/>
      </c>
      <c r="E314" t="str">
        <f t="shared" ca="1" si="4"/>
        <v/>
      </c>
      <c r="F314" t="str">
        <f ca="1">IF(E314="","",_xll.RiskNormal($B$1,$B$2,_xll.RiskTruncate($B$8,$B$9)))</f>
        <v/>
      </c>
      <c r="G314" t="str">
        <f ca="1">IF(F314="","",$B$6+C314*$B$5-SUM($F$2:F314))</f>
        <v/>
      </c>
    </row>
    <row r="315" spans="4:7" x14ac:dyDescent="0.25">
      <c r="D315" t="str">
        <f ca="1">IF(SUM($D$2:D314)&gt;$B$4,"",D314+_xll.RiskExpon($B$3))</f>
        <v/>
      </c>
      <c r="E315" t="str">
        <f t="shared" ca="1" si="4"/>
        <v/>
      </c>
      <c r="F315" t="str">
        <f ca="1">IF(E315="","",_xll.RiskNormal($B$1,$B$2,_xll.RiskTruncate($B$8,$B$9)))</f>
        <v/>
      </c>
      <c r="G315" t="str">
        <f ca="1">IF(F315="","",$B$6+C315*$B$5-SUM($F$2:F315))</f>
        <v/>
      </c>
    </row>
    <row r="316" spans="4:7" x14ac:dyDescent="0.25">
      <c r="D316" t="str">
        <f ca="1">IF(SUM($D$2:D315)&gt;$B$4,"",D315+_xll.RiskExpon($B$3))</f>
        <v/>
      </c>
      <c r="E316" t="str">
        <f t="shared" ca="1" si="4"/>
        <v/>
      </c>
      <c r="F316" t="str">
        <f ca="1">IF(E316="","",_xll.RiskNormal($B$1,$B$2,_xll.RiskTruncate($B$8,$B$9)))</f>
        <v/>
      </c>
      <c r="G316" t="str">
        <f ca="1">IF(F316="","",$B$6+C316*$B$5-SUM($F$2:F316))</f>
        <v/>
      </c>
    </row>
    <row r="317" spans="4:7" x14ac:dyDescent="0.25">
      <c r="D317" t="str">
        <f ca="1">IF(SUM($D$2:D316)&gt;$B$4,"",D316+_xll.RiskExpon($B$3))</f>
        <v/>
      </c>
      <c r="E317" t="str">
        <f t="shared" ca="1" si="4"/>
        <v/>
      </c>
      <c r="F317" t="str">
        <f ca="1">IF(E317="","",_xll.RiskNormal($B$1,$B$2,_xll.RiskTruncate($B$8,$B$9)))</f>
        <v/>
      </c>
      <c r="G317" t="str">
        <f ca="1">IF(F317="","",$B$6+C317*$B$5-SUM($F$2:F317))</f>
        <v/>
      </c>
    </row>
    <row r="318" spans="4:7" x14ac:dyDescent="0.25">
      <c r="D318" t="str">
        <f ca="1">IF(SUM($D$2:D317)&gt;$B$4,"",D317+_xll.RiskExpon($B$3))</f>
        <v/>
      </c>
      <c r="E318" t="str">
        <f t="shared" ca="1" si="4"/>
        <v/>
      </c>
      <c r="F318" t="str">
        <f ca="1">IF(E318="","",_xll.RiskNormal($B$1,$B$2,_xll.RiskTruncate($B$8,$B$9)))</f>
        <v/>
      </c>
      <c r="G318" t="str">
        <f ca="1">IF(F318="","",$B$6+C318*$B$5-SUM($F$2:F318))</f>
        <v/>
      </c>
    </row>
    <row r="319" spans="4:7" x14ac:dyDescent="0.25">
      <c r="D319" t="str">
        <f ca="1">IF(SUM($D$2:D318)&gt;$B$4,"",D318+_xll.RiskExpon($B$3))</f>
        <v/>
      </c>
      <c r="E319" t="str">
        <f t="shared" ca="1" si="4"/>
        <v/>
      </c>
      <c r="F319" t="str">
        <f ca="1">IF(E319="","",_xll.RiskNormal($B$1,$B$2,_xll.RiskTruncate($B$8,$B$9)))</f>
        <v/>
      </c>
      <c r="G319" t="str">
        <f ca="1">IF(F319="","",$B$6+C319*$B$5-SUM($F$2:F319))</f>
        <v/>
      </c>
    </row>
    <row r="320" spans="4:7" x14ac:dyDescent="0.25">
      <c r="D320" t="str">
        <f ca="1">IF(SUM($D$2:D319)&gt;$B$4,"",D319+_xll.RiskExpon($B$3))</f>
        <v/>
      </c>
      <c r="E320" t="str">
        <f t="shared" ca="1" si="4"/>
        <v/>
      </c>
      <c r="F320" t="str">
        <f ca="1">IF(E320="","",_xll.RiskNormal($B$1,$B$2,_xll.RiskTruncate($B$8,$B$9)))</f>
        <v/>
      </c>
      <c r="G320" t="str">
        <f ca="1">IF(F320="","",$B$6+C320*$B$5-SUM($F$2:F320))</f>
        <v/>
      </c>
    </row>
    <row r="321" spans="4:7" x14ac:dyDescent="0.25">
      <c r="D321" t="str">
        <f ca="1">IF(SUM($D$2:D320)&gt;$B$4,"",D320+_xll.RiskExpon($B$3))</f>
        <v/>
      </c>
      <c r="E321" t="str">
        <f t="shared" ca="1" si="4"/>
        <v/>
      </c>
      <c r="F321" t="str">
        <f ca="1">IF(E321="","",_xll.RiskNormal($B$1,$B$2,_xll.RiskTruncate($B$8,$B$9)))</f>
        <v/>
      </c>
      <c r="G321" t="str">
        <f ca="1">IF(F321="","",$B$6+C321*$B$5-SUM($F$2:F321))</f>
        <v/>
      </c>
    </row>
    <row r="322" spans="4:7" x14ac:dyDescent="0.25">
      <c r="D322" t="str">
        <f ca="1">IF(SUM($D$2:D321)&gt;$B$4,"",D321+_xll.RiskExpon($B$3))</f>
        <v/>
      </c>
      <c r="E322" t="str">
        <f t="shared" ca="1" si="4"/>
        <v/>
      </c>
      <c r="F322" t="str">
        <f ca="1">IF(E322="","",_xll.RiskNormal($B$1,$B$2,_xll.RiskTruncate($B$8,$B$9)))</f>
        <v/>
      </c>
      <c r="G322" t="str">
        <f ca="1">IF(F322="","",$B$6+C322*$B$5-SUM($F$2:F322))</f>
        <v/>
      </c>
    </row>
    <row r="323" spans="4:7" x14ac:dyDescent="0.25">
      <c r="D323" t="str">
        <f ca="1">IF(SUM($D$2:D322)&gt;$B$4,"",D322+_xll.RiskExpon($B$3))</f>
        <v/>
      </c>
      <c r="E323" t="str">
        <f t="shared" ca="1" si="4"/>
        <v/>
      </c>
      <c r="F323" t="str">
        <f ca="1">IF(E323="","",_xll.RiskNormal($B$1,$B$2,_xll.RiskTruncate($B$8,$B$9)))</f>
        <v/>
      </c>
      <c r="G323" t="str">
        <f ca="1">IF(F323="","",$B$6+C323*$B$5-SUM($F$2:F323))</f>
        <v/>
      </c>
    </row>
    <row r="324" spans="4:7" x14ac:dyDescent="0.25">
      <c r="D324" t="str">
        <f ca="1">IF(SUM($D$2:D323)&gt;$B$4,"",D323+_xll.RiskExpon($B$3))</f>
        <v/>
      </c>
      <c r="E324" t="str">
        <f t="shared" ref="E324:E387" ca="1" si="5">IF(E323&lt;$B$7,E323+1,"")</f>
        <v/>
      </c>
      <c r="F324" t="str">
        <f ca="1">IF(E324="","",_xll.RiskNormal($B$1,$B$2,_xll.RiskTruncate($B$8,$B$9)))</f>
        <v/>
      </c>
      <c r="G324" t="str">
        <f ca="1">IF(F324="","",$B$6+C324*$B$5-SUM($F$2:F324))</f>
        <v/>
      </c>
    </row>
    <row r="325" spans="4:7" x14ac:dyDescent="0.25">
      <c r="D325" t="str">
        <f ca="1">IF(SUM($D$2:D324)&gt;$B$4,"",D324+_xll.RiskExpon($B$3))</f>
        <v/>
      </c>
      <c r="E325" t="str">
        <f t="shared" ca="1" si="5"/>
        <v/>
      </c>
      <c r="F325" t="str">
        <f ca="1">IF(E325="","",_xll.RiskNormal($B$1,$B$2,_xll.RiskTruncate($B$8,$B$9)))</f>
        <v/>
      </c>
      <c r="G325" t="str">
        <f ca="1">IF(F325="","",$B$6+C325*$B$5-SUM($F$2:F325))</f>
        <v/>
      </c>
    </row>
    <row r="326" spans="4:7" x14ac:dyDescent="0.25">
      <c r="D326" t="str">
        <f ca="1">IF(SUM($D$2:D325)&gt;$B$4,"",D325+_xll.RiskExpon($B$3))</f>
        <v/>
      </c>
      <c r="E326" t="str">
        <f t="shared" ca="1" si="5"/>
        <v/>
      </c>
      <c r="F326" t="str">
        <f ca="1">IF(E326="","",_xll.RiskNormal($B$1,$B$2,_xll.RiskTruncate($B$8,$B$9)))</f>
        <v/>
      </c>
      <c r="G326" t="str">
        <f ca="1">IF(F326="","",$B$6+C326*$B$5-SUM($F$2:F326))</f>
        <v/>
      </c>
    </row>
    <row r="327" spans="4:7" x14ac:dyDescent="0.25">
      <c r="D327" t="str">
        <f ca="1">IF(SUM($D$2:D326)&gt;$B$4,"",D326+_xll.RiskExpon($B$3))</f>
        <v/>
      </c>
      <c r="E327" t="str">
        <f t="shared" ca="1" si="5"/>
        <v/>
      </c>
      <c r="F327" t="str">
        <f ca="1">IF(E327="","",_xll.RiskNormal($B$1,$B$2,_xll.RiskTruncate($B$8,$B$9)))</f>
        <v/>
      </c>
      <c r="G327" t="str">
        <f ca="1">IF(F327="","",$B$6+C327*$B$5-SUM($F$2:F327))</f>
        <v/>
      </c>
    </row>
    <row r="328" spans="4:7" x14ac:dyDescent="0.25">
      <c r="D328" t="str">
        <f ca="1">IF(SUM($D$2:D327)&gt;$B$4,"",D327+_xll.RiskExpon($B$3))</f>
        <v/>
      </c>
      <c r="E328" t="str">
        <f t="shared" ca="1" si="5"/>
        <v/>
      </c>
      <c r="F328" t="str">
        <f ca="1">IF(E328="","",_xll.RiskNormal($B$1,$B$2,_xll.RiskTruncate($B$8,$B$9)))</f>
        <v/>
      </c>
      <c r="G328" t="str">
        <f ca="1">IF(F328="","",$B$6+C328*$B$5-SUM($F$2:F328))</f>
        <v/>
      </c>
    </row>
    <row r="329" spans="4:7" x14ac:dyDescent="0.25">
      <c r="D329" t="str">
        <f ca="1">IF(SUM($D$2:D328)&gt;$B$4,"",D328+_xll.RiskExpon($B$3))</f>
        <v/>
      </c>
      <c r="E329" t="str">
        <f t="shared" ca="1" si="5"/>
        <v/>
      </c>
      <c r="F329" t="str">
        <f ca="1">IF(E329="","",_xll.RiskNormal($B$1,$B$2,_xll.RiskTruncate($B$8,$B$9)))</f>
        <v/>
      </c>
      <c r="G329" t="str">
        <f ca="1">IF(F329="","",$B$6+C329*$B$5-SUM($F$2:F329))</f>
        <v/>
      </c>
    </row>
    <row r="330" spans="4:7" x14ac:dyDescent="0.25">
      <c r="D330" t="str">
        <f ca="1">IF(SUM($D$2:D329)&gt;$B$4,"",D329+_xll.RiskExpon($B$3))</f>
        <v/>
      </c>
      <c r="E330" t="str">
        <f t="shared" ca="1" si="5"/>
        <v/>
      </c>
      <c r="F330" t="str">
        <f ca="1">IF(E330="","",_xll.RiskNormal($B$1,$B$2,_xll.RiskTruncate($B$8,$B$9)))</f>
        <v/>
      </c>
      <c r="G330" t="str">
        <f ca="1">IF(F330="","",$B$6+C330*$B$5-SUM($F$2:F330))</f>
        <v/>
      </c>
    </row>
    <row r="331" spans="4:7" x14ac:dyDescent="0.25">
      <c r="D331" t="str">
        <f ca="1">IF(SUM($D$2:D330)&gt;$B$4,"",D330+_xll.RiskExpon($B$3))</f>
        <v/>
      </c>
      <c r="E331" t="str">
        <f t="shared" ca="1" si="5"/>
        <v/>
      </c>
      <c r="F331" t="str">
        <f ca="1">IF(E331="","",_xll.RiskNormal($B$1,$B$2,_xll.RiskTruncate($B$8,$B$9)))</f>
        <v/>
      </c>
      <c r="G331" t="str">
        <f ca="1">IF(F331="","",$B$6+C331*$B$5-SUM($F$2:F331))</f>
        <v/>
      </c>
    </row>
    <row r="332" spans="4:7" x14ac:dyDescent="0.25">
      <c r="D332" t="str">
        <f ca="1">IF(SUM($D$2:D331)&gt;$B$4,"",D331+_xll.RiskExpon($B$3))</f>
        <v/>
      </c>
      <c r="E332" t="str">
        <f t="shared" ca="1" si="5"/>
        <v/>
      </c>
      <c r="F332" t="str">
        <f ca="1">IF(E332="","",_xll.RiskNormal($B$1,$B$2,_xll.RiskTruncate($B$8,$B$9)))</f>
        <v/>
      </c>
      <c r="G332" t="str">
        <f ca="1">IF(F332="","",$B$6+C332*$B$5-SUM($F$2:F332))</f>
        <v/>
      </c>
    </row>
    <row r="333" spans="4:7" x14ac:dyDescent="0.25">
      <c r="D333" t="str">
        <f ca="1">IF(SUM($D$2:D332)&gt;$B$4,"",D332+_xll.RiskExpon($B$3))</f>
        <v/>
      </c>
      <c r="E333" t="str">
        <f t="shared" ca="1" si="5"/>
        <v/>
      </c>
      <c r="F333" t="str">
        <f ca="1">IF(E333="","",_xll.RiskNormal($B$1,$B$2,_xll.RiskTruncate($B$8,$B$9)))</f>
        <v/>
      </c>
      <c r="G333" t="str">
        <f ca="1">IF(F333="","",$B$6+C333*$B$5-SUM($F$2:F333))</f>
        <v/>
      </c>
    </row>
    <row r="334" spans="4:7" x14ac:dyDescent="0.25">
      <c r="D334" t="str">
        <f ca="1">IF(SUM($D$2:D333)&gt;$B$4,"",D333+_xll.RiskExpon($B$3))</f>
        <v/>
      </c>
      <c r="E334" t="str">
        <f t="shared" ca="1" si="5"/>
        <v/>
      </c>
      <c r="F334" t="str">
        <f ca="1">IF(E334="","",_xll.RiskNormal($B$1,$B$2,_xll.RiskTruncate($B$8,$B$9)))</f>
        <v/>
      </c>
      <c r="G334" t="str">
        <f ca="1">IF(F334="","",$B$6+C334*$B$5-SUM($F$2:F334))</f>
        <v/>
      </c>
    </row>
    <row r="335" spans="4:7" x14ac:dyDescent="0.25">
      <c r="D335" t="str">
        <f ca="1">IF(SUM($D$2:D334)&gt;$B$4,"",D334+_xll.RiskExpon($B$3))</f>
        <v/>
      </c>
      <c r="E335" t="str">
        <f t="shared" ca="1" si="5"/>
        <v/>
      </c>
      <c r="F335" t="str">
        <f ca="1">IF(E335="","",_xll.RiskNormal($B$1,$B$2,_xll.RiskTruncate($B$8,$B$9)))</f>
        <v/>
      </c>
      <c r="G335" t="str">
        <f ca="1">IF(F335="","",$B$6+C335*$B$5-SUM($F$2:F335))</f>
        <v/>
      </c>
    </row>
    <row r="336" spans="4:7" x14ac:dyDescent="0.25">
      <c r="D336" t="str">
        <f ca="1">IF(SUM($D$2:D335)&gt;$B$4,"",D335+_xll.RiskExpon($B$3))</f>
        <v/>
      </c>
      <c r="E336" t="str">
        <f t="shared" ca="1" si="5"/>
        <v/>
      </c>
      <c r="F336" t="str">
        <f ca="1">IF(E336="","",_xll.RiskNormal($B$1,$B$2,_xll.RiskTruncate($B$8,$B$9)))</f>
        <v/>
      </c>
      <c r="G336" t="str">
        <f ca="1">IF(F336="","",$B$6+C336*$B$5-SUM($F$2:F336))</f>
        <v/>
      </c>
    </row>
    <row r="337" spans="4:7" x14ac:dyDescent="0.25">
      <c r="D337" t="str">
        <f ca="1">IF(SUM($D$2:D336)&gt;$B$4,"",D336+_xll.RiskExpon($B$3))</f>
        <v/>
      </c>
      <c r="E337" t="str">
        <f t="shared" ca="1" si="5"/>
        <v/>
      </c>
      <c r="F337" t="str">
        <f ca="1">IF(E337="","",_xll.RiskNormal($B$1,$B$2,_xll.RiskTruncate($B$8,$B$9)))</f>
        <v/>
      </c>
      <c r="G337" t="str">
        <f ca="1">IF(F337="","",$B$6+C337*$B$5-SUM($F$2:F337))</f>
        <v/>
      </c>
    </row>
    <row r="338" spans="4:7" x14ac:dyDescent="0.25">
      <c r="D338" t="str">
        <f ca="1">IF(SUM($D$2:D337)&gt;$B$4,"",D337+_xll.RiskExpon($B$3))</f>
        <v/>
      </c>
      <c r="E338" t="str">
        <f t="shared" ca="1" si="5"/>
        <v/>
      </c>
      <c r="F338" t="str">
        <f ca="1">IF(E338="","",_xll.RiskNormal($B$1,$B$2,_xll.RiskTruncate($B$8,$B$9)))</f>
        <v/>
      </c>
      <c r="G338" t="str">
        <f ca="1">IF(F338="","",$B$6+C338*$B$5-SUM($F$2:F338))</f>
        <v/>
      </c>
    </row>
    <row r="339" spans="4:7" x14ac:dyDescent="0.25">
      <c r="D339" t="str">
        <f ca="1">IF(SUM($D$2:D338)&gt;$B$4,"",D338+_xll.RiskExpon($B$3))</f>
        <v/>
      </c>
      <c r="E339" t="str">
        <f t="shared" ca="1" si="5"/>
        <v/>
      </c>
      <c r="F339" t="str">
        <f ca="1">IF(E339="","",_xll.RiskNormal($B$1,$B$2,_xll.RiskTruncate($B$8,$B$9)))</f>
        <v/>
      </c>
      <c r="G339" t="str">
        <f ca="1">IF(F339="","",$B$6+C339*$B$5-SUM($F$2:F339))</f>
        <v/>
      </c>
    </row>
    <row r="340" spans="4:7" x14ac:dyDescent="0.25">
      <c r="D340" t="str">
        <f ca="1">IF(SUM($D$2:D339)&gt;$B$4,"",D339+_xll.RiskExpon($B$3))</f>
        <v/>
      </c>
      <c r="E340" t="str">
        <f t="shared" ca="1" si="5"/>
        <v/>
      </c>
      <c r="F340" t="str">
        <f ca="1">IF(E340="","",_xll.RiskNormal($B$1,$B$2,_xll.RiskTruncate($B$8,$B$9)))</f>
        <v/>
      </c>
      <c r="G340" t="str">
        <f ca="1">IF(F340="","",$B$6+C340*$B$5-SUM($F$2:F340))</f>
        <v/>
      </c>
    </row>
    <row r="341" spans="4:7" x14ac:dyDescent="0.25">
      <c r="D341" t="str">
        <f ca="1">IF(SUM($D$2:D340)&gt;$B$4,"",D340+_xll.RiskExpon($B$3))</f>
        <v/>
      </c>
      <c r="E341" t="str">
        <f t="shared" ca="1" si="5"/>
        <v/>
      </c>
      <c r="F341" t="str">
        <f ca="1">IF(E341="","",_xll.RiskNormal($B$1,$B$2,_xll.RiskTruncate($B$8,$B$9)))</f>
        <v/>
      </c>
      <c r="G341" t="str">
        <f ca="1">IF(F341="","",$B$6+C341*$B$5-SUM($F$2:F341))</f>
        <v/>
      </c>
    </row>
    <row r="342" spans="4:7" x14ac:dyDescent="0.25">
      <c r="D342" t="str">
        <f ca="1">IF(SUM($D$2:D341)&gt;$B$4,"",D341+_xll.RiskExpon($B$3))</f>
        <v/>
      </c>
      <c r="E342" t="str">
        <f t="shared" ca="1" si="5"/>
        <v/>
      </c>
      <c r="F342" t="str">
        <f ca="1">IF(E342="","",_xll.RiskNormal($B$1,$B$2,_xll.RiskTruncate($B$8,$B$9)))</f>
        <v/>
      </c>
      <c r="G342" t="str">
        <f ca="1">IF(F342="","",$B$6+C342*$B$5-SUM($F$2:F342))</f>
        <v/>
      </c>
    </row>
    <row r="343" spans="4:7" x14ac:dyDescent="0.25">
      <c r="D343" t="str">
        <f ca="1">IF(SUM($D$2:D342)&gt;$B$4,"",D342+_xll.RiskExpon($B$3))</f>
        <v/>
      </c>
      <c r="E343" t="str">
        <f t="shared" ca="1" si="5"/>
        <v/>
      </c>
      <c r="F343" t="str">
        <f ca="1">IF(E343="","",_xll.RiskNormal($B$1,$B$2,_xll.RiskTruncate($B$8,$B$9)))</f>
        <v/>
      </c>
      <c r="G343" t="str">
        <f ca="1">IF(F343="","",$B$6+C343*$B$5-SUM($F$2:F343))</f>
        <v/>
      </c>
    </row>
    <row r="344" spans="4:7" x14ac:dyDescent="0.25">
      <c r="D344" t="str">
        <f ca="1">IF(SUM($D$2:D343)&gt;$B$4,"",D343+_xll.RiskExpon($B$3))</f>
        <v/>
      </c>
      <c r="E344" t="str">
        <f t="shared" ca="1" si="5"/>
        <v/>
      </c>
      <c r="F344" t="str">
        <f ca="1">IF(E344="","",_xll.RiskNormal($B$1,$B$2,_xll.RiskTruncate($B$8,$B$9)))</f>
        <v/>
      </c>
      <c r="G344" t="str">
        <f ca="1">IF(F344="","",$B$6+C344*$B$5-SUM($F$2:F344))</f>
        <v/>
      </c>
    </row>
    <row r="345" spans="4:7" x14ac:dyDescent="0.25">
      <c r="D345" t="str">
        <f ca="1">IF(SUM($D$2:D344)&gt;$B$4,"",D344+_xll.RiskExpon($B$3))</f>
        <v/>
      </c>
      <c r="E345" t="str">
        <f t="shared" ca="1" si="5"/>
        <v/>
      </c>
      <c r="F345" t="str">
        <f ca="1">IF(E345="","",_xll.RiskNormal($B$1,$B$2,_xll.RiskTruncate($B$8,$B$9)))</f>
        <v/>
      </c>
      <c r="G345" t="str">
        <f ca="1">IF(F345="","",$B$6+C345*$B$5-SUM($F$2:F345))</f>
        <v/>
      </c>
    </row>
    <row r="346" spans="4:7" x14ac:dyDescent="0.25">
      <c r="D346" t="str">
        <f ca="1">IF(SUM($D$2:D345)&gt;$B$4,"",D345+_xll.RiskExpon($B$3))</f>
        <v/>
      </c>
      <c r="E346" t="str">
        <f t="shared" ca="1" si="5"/>
        <v/>
      </c>
      <c r="F346" t="str">
        <f ca="1">IF(E346="","",_xll.RiskNormal($B$1,$B$2,_xll.RiskTruncate($B$8,$B$9)))</f>
        <v/>
      </c>
      <c r="G346" t="str">
        <f ca="1">IF(F346="","",$B$6+C346*$B$5-SUM($F$2:F346))</f>
        <v/>
      </c>
    </row>
    <row r="347" spans="4:7" x14ac:dyDescent="0.25">
      <c r="D347" t="str">
        <f ca="1">IF(SUM($D$2:D346)&gt;$B$4,"",D346+_xll.RiskExpon($B$3))</f>
        <v/>
      </c>
      <c r="E347" t="str">
        <f t="shared" ca="1" si="5"/>
        <v/>
      </c>
      <c r="F347" t="str">
        <f ca="1">IF(E347="","",_xll.RiskNormal($B$1,$B$2,_xll.RiskTruncate($B$8,$B$9)))</f>
        <v/>
      </c>
      <c r="G347" t="str">
        <f ca="1">IF(F347="","",$B$6+C347*$B$5-SUM($F$2:F347))</f>
        <v/>
      </c>
    </row>
    <row r="348" spans="4:7" x14ac:dyDescent="0.25">
      <c r="D348" t="str">
        <f ca="1">IF(SUM($D$2:D347)&gt;$B$4,"",D347+_xll.RiskExpon($B$3))</f>
        <v/>
      </c>
      <c r="E348" t="str">
        <f t="shared" ca="1" si="5"/>
        <v/>
      </c>
      <c r="F348" t="str">
        <f ca="1">IF(E348="","",_xll.RiskNormal($B$1,$B$2,_xll.RiskTruncate($B$8,$B$9)))</f>
        <v/>
      </c>
      <c r="G348" t="str">
        <f ca="1">IF(F348="","",$B$6+C348*$B$5-SUM($F$2:F348))</f>
        <v/>
      </c>
    </row>
    <row r="349" spans="4:7" x14ac:dyDescent="0.25">
      <c r="D349" t="str">
        <f ca="1">IF(SUM($D$2:D348)&gt;$B$4,"",D348+_xll.RiskExpon($B$3))</f>
        <v/>
      </c>
      <c r="E349" t="str">
        <f t="shared" ca="1" si="5"/>
        <v/>
      </c>
      <c r="F349" t="str">
        <f ca="1">IF(E349="","",_xll.RiskNormal($B$1,$B$2,_xll.RiskTruncate($B$8,$B$9)))</f>
        <v/>
      </c>
      <c r="G349" t="str">
        <f ca="1">IF(F349="","",$B$6+C349*$B$5-SUM($F$2:F349))</f>
        <v/>
      </c>
    </row>
    <row r="350" spans="4:7" x14ac:dyDescent="0.25">
      <c r="D350" t="str">
        <f ca="1">IF(SUM($D$2:D349)&gt;$B$4,"",D349+_xll.RiskExpon($B$3))</f>
        <v/>
      </c>
      <c r="E350" t="str">
        <f t="shared" ca="1" si="5"/>
        <v/>
      </c>
      <c r="F350" t="str">
        <f ca="1">IF(E350="","",_xll.RiskNormal($B$1,$B$2,_xll.RiskTruncate($B$8,$B$9)))</f>
        <v/>
      </c>
      <c r="G350" t="str">
        <f ca="1">IF(F350="","",$B$6+C350*$B$5-SUM($F$2:F350))</f>
        <v/>
      </c>
    </row>
    <row r="351" spans="4:7" x14ac:dyDescent="0.25">
      <c r="D351" t="str">
        <f ca="1">IF(SUM($D$2:D350)&gt;$B$4,"",D350+_xll.RiskExpon($B$3))</f>
        <v/>
      </c>
      <c r="E351" t="str">
        <f t="shared" ca="1" si="5"/>
        <v/>
      </c>
      <c r="F351" t="str">
        <f ca="1">IF(E351="","",_xll.RiskNormal($B$1,$B$2,_xll.RiskTruncate($B$8,$B$9)))</f>
        <v/>
      </c>
      <c r="G351" t="str">
        <f ca="1">IF(F351="","",$B$6+C351*$B$5-SUM($F$2:F351))</f>
        <v/>
      </c>
    </row>
    <row r="352" spans="4:7" x14ac:dyDescent="0.25">
      <c r="D352" t="str">
        <f ca="1">IF(SUM($D$2:D351)&gt;$B$4,"",D351+_xll.RiskExpon($B$3))</f>
        <v/>
      </c>
      <c r="E352" t="str">
        <f t="shared" ca="1" si="5"/>
        <v/>
      </c>
      <c r="F352" t="str">
        <f ca="1">IF(E352="","",_xll.RiskNormal($B$1,$B$2,_xll.RiskTruncate($B$8,$B$9)))</f>
        <v/>
      </c>
      <c r="G352" t="str">
        <f ca="1">IF(F352="","",$B$6+C352*$B$5-SUM($F$2:F352))</f>
        <v/>
      </c>
    </row>
    <row r="353" spans="4:7" x14ac:dyDescent="0.25">
      <c r="D353" t="str">
        <f ca="1">IF(SUM($D$2:D352)&gt;$B$4,"",D352+_xll.RiskExpon($B$3))</f>
        <v/>
      </c>
      <c r="E353" t="str">
        <f t="shared" ca="1" si="5"/>
        <v/>
      </c>
      <c r="F353" t="str">
        <f ca="1">IF(E353="","",_xll.RiskNormal($B$1,$B$2,_xll.RiskTruncate($B$8,$B$9)))</f>
        <v/>
      </c>
      <c r="G353" t="str">
        <f ca="1">IF(F353="","",$B$6+C353*$B$5-SUM($F$2:F353))</f>
        <v/>
      </c>
    </row>
    <row r="354" spans="4:7" x14ac:dyDescent="0.25">
      <c r="D354" t="str">
        <f ca="1">IF(SUM($D$2:D353)&gt;$B$4,"",D353+_xll.RiskExpon($B$3))</f>
        <v/>
      </c>
      <c r="E354" t="str">
        <f t="shared" ca="1" si="5"/>
        <v/>
      </c>
      <c r="F354" t="str">
        <f ca="1">IF(E354="","",_xll.RiskNormal($B$1,$B$2,_xll.RiskTruncate($B$8,$B$9)))</f>
        <v/>
      </c>
      <c r="G354" t="str">
        <f ca="1">IF(F354="","",$B$6+C354*$B$5-SUM($F$2:F354))</f>
        <v/>
      </c>
    </row>
    <row r="355" spans="4:7" x14ac:dyDescent="0.25">
      <c r="D355" t="str">
        <f ca="1">IF(SUM($D$2:D354)&gt;$B$4,"",D354+_xll.RiskExpon($B$3))</f>
        <v/>
      </c>
      <c r="E355" t="str">
        <f t="shared" ca="1" si="5"/>
        <v/>
      </c>
      <c r="F355" t="str">
        <f ca="1">IF(E355="","",_xll.RiskNormal($B$1,$B$2,_xll.RiskTruncate($B$8,$B$9)))</f>
        <v/>
      </c>
      <c r="G355" t="str">
        <f ca="1">IF(F355="","",$B$6+C355*$B$5-SUM($F$2:F355))</f>
        <v/>
      </c>
    </row>
    <row r="356" spans="4:7" x14ac:dyDescent="0.25">
      <c r="D356" t="str">
        <f ca="1">IF(SUM($D$2:D355)&gt;$B$4,"",D355+_xll.RiskExpon($B$3))</f>
        <v/>
      </c>
      <c r="E356" t="str">
        <f t="shared" ca="1" si="5"/>
        <v/>
      </c>
      <c r="F356" t="str">
        <f ca="1">IF(E356="","",_xll.RiskNormal($B$1,$B$2,_xll.RiskTruncate($B$8,$B$9)))</f>
        <v/>
      </c>
      <c r="G356" t="str">
        <f ca="1">IF(F356="","",$B$6+C356*$B$5-SUM($F$2:F356))</f>
        <v/>
      </c>
    </row>
    <row r="357" spans="4:7" x14ac:dyDescent="0.25">
      <c r="D357" t="str">
        <f ca="1">IF(SUM($D$2:D356)&gt;$B$4,"",D356+_xll.RiskExpon($B$3))</f>
        <v/>
      </c>
      <c r="E357" t="str">
        <f t="shared" ca="1" si="5"/>
        <v/>
      </c>
      <c r="F357" t="str">
        <f ca="1">IF(E357="","",_xll.RiskNormal($B$1,$B$2,_xll.RiskTruncate($B$8,$B$9)))</f>
        <v/>
      </c>
      <c r="G357" t="str">
        <f ca="1">IF(F357="","",$B$6+C357*$B$5-SUM($F$2:F357))</f>
        <v/>
      </c>
    </row>
    <row r="358" spans="4:7" x14ac:dyDescent="0.25">
      <c r="D358" t="str">
        <f ca="1">IF(SUM($D$2:D357)&gt;$B$4,"",D357+_xll.RiskExpon($B$3))</f>
        <v/>
      </c>
      <c r="E358" t="str">
        <f t="shared" ca="1" si="5"/>
        <v/>
      </c>
      <c r="F358" t="str">
        <f ca="1">IF(E358="","",_xll.RiskNormal($B$1,$B$2,_xll.RiskTruncate($B$8,$B$9)))</f>
        <v/>
      </c>
      <c r="G358" t="str">
        <f ca="1">IF(F358="","",$B$6+C358*$B$5-SUM($F$2:F358))</f>
        <v/>
      </c>
    </row>
    <row r="359" spans="4:7" x14ac:dyDescent="0.25">
      <c r="D359" t="str">
        <f ca="1">IF(SUM($D$2:D358)&gt;$B$4,"",D358+_xll.RiskExpon($B$3))</f>
        <v/>
      </c>
      <c r="E359" t="str">
        <f t="shared" ca="1" si="5"/>
        <v/>
      </c>
      <c r="F359" t="str">
        <f ca="1">IF(E359="","",_xll.RiskNormal($B$1,$B$2,_xll.RiskTruncate($B$8,$B$9)))</f>
        <v/>
      </c>
      <c r="G359" t="str">
        <f ca="1">IF(F359="","",$B$6+C359*$B$5-SUM($F$2:F359))</f>
        <v/>
      </c>
    </row>
    <row r="360" spans="4:7" x14ac:dyDescent="0.25">
      <c r="D360" t="str">
        <f ca="1">IF(SUM($D$2:D359)&gt;$B$4,"",D359+_xll.RiskExpon($B$3))</f>
        <v/>
      </c>
      <c r="E360" t="str">
        <f t="shared" ca="1" si="5"/>
        <v/>
      </c>
      <c r="F360" t="str">
        <f ca="1">IF(E360="","",_xll.RiskNormal($B$1,$B$2,_xll.RiskTruncate($B$8,$B$9)))</f>
        <v/>
      </c>
      <c r="G360" t="str">
        <f ca="1">IF(F360="","",$B$6+C360*$B$5-SUM($F$2:F360))</f>
        <v/>
      </c>
    </row>
    <row r="361" spans="4:7" x14ac:dyDescent="0.25">
      <c r="D361" t="str">
        <f ca="1">IF(SUM($D$2:D360)&gt;$B$4,"",D360+_xll.RiskExpon($B$3))</f>
        <v/>
      </c>
      <c r="E361" t="str">
        <f t="shared" ca="1" si="5"/>
        <v/>
      </c>
      <c r="F361" t="str">
        <f ca="1">IF(E361="","",_xll.RiskNormal($B$1,$B$2,_xll.RiskTruncate($B$8,$B$9)))</f>
        <v/>
      </c>
      <c r="G361" t="str">
        <f ca="1">IF(F361="","",$B$6+C361*$B$5-SUM($F$2:F361))</f>
        <v/>
      </c>
    </row>
    <row r="362" spans="4:7" x14ac:dyDescent="0.25">
      <c r="D362" t="str">
        <f ca="1">IF(SUM($D$2:D361)&gt;$B$4,"",D361+_xll.RiskExpon($B$3))</f>
        <v/>
      </c>
      <c r="E362" t="str">
        <f t="shared" ca="1" si="5"/>
        <v/>
      </c>
      <c r="F362" t="str">
        <f ca="1">IF(E362="","",_xll.RiskNormal($B$1,$B$2,_xll.RiskTruncate($B$8,$B$9)))</f>
        <v/>
      </c>
      <c r="G362" t="str">
        <f ca="1">IF(F362="","",$B$6+C362*$B$5-SUM($F$2:F362))</f>
        <v/>
      </c>
    </row>
    <row r="363" spans="4:7" x14ac:dyDescent="0.25">
      <c r="D363" t="str">
        <f ca="1">IF(SUM($D$2:D362)&gt;$B$4,"",D362+_xll.RiskExpon($B$3))</f>
        <v/>
      </c>
      <c r="E363" t="str">
        <f t="shared" ca="1" si="5"/>
        <v/>
      </c>
      <c r="F363" t="str">
        <f ca="1">IF(E363="","",_xll.RiskNormal($B$1,$B$2,_xll.RiskTruncate($B$8,$B$9)))</f>
        <v/>
      </c>
      <c r="G363" t="str">
        <f ca="1">IF(F363="","",$B$6+C363*$B$5-SUM($F$2:F363))</f>
        <v/>
      </c>
    </row>
    <row r="364" spans="4:7" x14ac:dyDescent="0.25">
      <c r="D364" t="str">
        <f ca="1">IF(SUM($D$2:D363)&gt;$B$4,"",D363+_xll.RiskExpon($B$3))</f>
        <v/>
      </c>
      <c r="E364" t="str">
        <f t="shared" ca="1" si="5"/>
        <v/>
      </c>
      <c r="F364" t="str">
        <f ca="1">IF(E364="","",_xll.RiskNormal($B$1,$B$2,_xll.RiskTruncate($B$8,$B$9)))</f>
        <v/>
      </c>
      <c r="G364" t="str">
        <f ca="1">IF(F364="","",$B$6+C364*$B$5-SUM($F$2:F364))</f>
        <v/>
      </c>
    </row>
    <row r="365" spans="4:7" x14ac:dyDescent="0.25">
      <c r="D365" t="str">
        <f ca="1">IF(SUM($D$2:D364)&gt;$B$4,"",D364+_xll.RiskExpon($B$3))</f>
        <v/>
      </c>
      <c r="E365" t="str">
        <f t="shared" ca="1" si="5"/>
        <v/>
      </c>
      <c r="F365" t="str">
        <f ca="1">IF(E365="","",_xll.RiskNormal($B$1,$B$2,_xll.RiskTruncate($B$8,$B$9)))</f>
        <v/>
      </c>
      <c r="G365" t="str">
        <f ca="1">IF(F365="","",$B$6+C365*$B$5-SUM($F$2:F365))</f>
        <v/>
      </c>
    </row>
    <row r="366" spans="4:7" x14ac:dyDescent="0.25">
      <c r="D366" t="str">
        <f ca="1">IF(SUM($D$2:D365)&gt;$B$4,"",D365+_xll.RiskExpon($B$3))</f>
        <v/>
      </c>
      <c r="E366" t="str">
        <f t="shared" ca="1" si="5"/>
        <v/>
      </c>
      <c r="F366" t="str">
        <f ca="1">IF(E366="","",_xll.RiskNormal($B$1,$B$2,_xll.RiskTruncate($B$8,$B$9)))</f>
        <v/>
      </c>
      <c r="G366" t="str">
        <f ca="1">IF(F366="","",$B$6+C366*$B$5-SUM($F$2:F366))</f>
        <v/>
      </c>
    </row>
    <row r="367" spans="4:7" x14ac:dyDescent="0.25">
      <c r="D367" t="str">
        <f ca="1">IF(SUM($D$2:D366)&gt;$B$4,"",D366+_xll.RiskExpon($B$3))</f>
        <v/>
      </c>
      <c r="E367" t="str">
        <f t="shared" ca="1" si="5"/>
        <v/>
      </c>
      <c r="F367" t="str">
        <f ca="1">IF(E367="","",_xll.RiskNormal($B$1,$B$2,_xll.RiskTruncate($B$8,$B$9)))</f>
        <v/>
      </c>
      <c r="G367" t="str">
        <f ca="1">IF(F367="","",$B$6+C367*$B$5-SUM($F$2:F367))</f>
        <v/>
      </c>
    </row>
    <row r="368" spans="4:7" x14ac:dyDescent="0.25">
      <c r="D368" t="str">
        <f ca="1">IF(SUM($D$2:D367)&gt;$B$4,"",D367+_xll.RiskExpon($B$3))</f>
        <v/>
      </c>
      <c r="E368" t="str">
        <f t="shared" ca="1" si="5"/>
        <v/>
      </c>
      <c r="F368" t="str">
        <f ca="1">IF(E368="","",_xll.RiskNormal($B$1,$B$2,_xll.RiskTruncate($B$8,$B$9)))</f>
        <v/>
      </c>
      <c r="G368" t="str">
        <f ca="1">IF(F368="","",$B$6+C368*$B$5-SUM($F$2:F368))</f>
        <v/>
      </c>
    </row>
    <row r="369" spans="4:7" x14ac:dyDescent="0.25">
      <c r="D369" t="str">
        <f ca="1">IF(SUM($D$2:D368)&gt;$B$4,"",D368+_xll.RiskExpon($B$3))</f>
        <v/>
      </c>
      <c r="E369" t="str">
        <f t="shared" ca="1" si="5"/>
        <v/>
      </c>
      <c r="F369" t="str">
        <f ca="1">IF(E369="","",_xll.RiskNormal($B$1,$B$2,_xll.RiskTruncate($B$8,$B$9)))</f>
        <v/>
      </c>
      <c r="G369" t="str">
        <f ca="1">IF(F369="","",$B$6+C369*$B$5-SUM($F$2:F369))</f>
        <v/>
      </c>
    </row>
    <row r="370" spans="4:7" x14ac:dyDescent="0.25">
      <c r="D370" t="str">
        <f ca="1">IF(SUM($D$2:D369)&gt;$B$4,"",D369+_xll.RiskExpon($B$3))</f>
        <v/>
      </c>
      <c r="E370" t="str">
        <f t="shared" ca="1" si="5"/>
        <v/>
      </c>
      <c r="F370" t="str">
        <f ca="1">IF(E370="","",_xll.RiskNormal($B$1,$B$2,_xll.RiskTruncate($B$8,$B$9)))</f>
        <v/>
      </c>
      <c r="G370" t="str">
        <f ca="1">IF(F370="","",$B$6+C370*$B$5-SUM($F$2:F370))</f>
        <v/>
      </c>
    </row>
    <row r="371" spans="4:7" x14ac:dyDescent="0.25">
      <c r="D371" t="str">
        <f ca="1">IF(SUM($D$2:D370)&gt;$B$4,"",D370+_xll.RiskExpon($B$3))</f>
        <v/>
      </c>
      <c r="E371" t="str">
        <f t="shared" ca="1" si="5"/>
        <v/>
      </c>
      <c r="F371" t="str">
        <f ca="1">IF(E371="","",_xll.RiskNormal($B$1,$B$2,_xll.RiskTruncate($B$8,$B$9)))</f>
        <v/>
      </c>
      <c r="G371" t="str">
        <f ca="1">IF(F371="","",$B$6+C371*$B$5-SUM($F$2:F371))</f>
        <v/>
      </c>
    </row>
    <row r="372" spans="4:7" x14ac:dyDescent="0.25">
      <c r="D372" t="str">
        <f ca="1">IF(SUM($D$2:D371)&gt;$B$4,"",D371+_xll.RiskExpon($B$3))</f>
        <v/>
      </c>
      <c r="E372" t="str">
        <f t="shared" ca="1" si="5"/>
        <v/>
      </c>
      <c r="F372" t="str">
        <f ca="1">IF(E372="","",_xll.RiskNormal($B$1,$B$2,_xll.RiskTruncate($B$8,$B$9)))</f>
        <v/>
      </c>
      <c r="G372" t="str">
        <f ca="1">IF(F372="","",$B$6+C372*$B$5-SUM($F$2:F372))</f>
        <v/>
      </c>
    </row>
    <row r="373" spans="4:7" x14ac:dyDescent="0.25">
      <c r="D373" t="str">
        <f ca="1">IF(SUM($D$2:D372)&gt;$B$4,"",D372+_xll.RiskExpon($B$3))</f>
        <v/>
      </c>
      <c r="E373" t="str">
        <f t="shared" ca="1" si="5"/>
        <v/>
      </c>
      <c r="F373" t="str">
        <f ca="1">IF(E373="","",_xll.RiskNormal($B$1,$B$2,_xll.RiskTruncate($B$8,$B$9)))</f>
        <v/>
      </c>
      <c r="G373" t="str">
        <f ca="1">IF(F373="","",$B$6+C373*$B$5-SUM($F$2:F373))</f>
        <v/>
      </c>
    </row>
    <row r="374" spans="4:7" x14ac:dyDescent="0.25">
      <c r="D374" t="str">
        <f ca="1">IF(SUM($D$2:D373)&gt;$B$4,"",D373+_xll.RiskExpon($B$3))</f>
        <v/>
      </c>
      <c r="E374" t="str">
        <f t="shared" ca="1" si="5"/>
        <v/>
      </c>
      <c r="F374" t="str">
        <f ca="1">IF(E374="","",_xll.RiskNormal($B$1,$B$2,_xll.RiskTruncate($B$8,$B$9)))</f>
        <v/>
      </c>
      <c r="G374" t="str">
        <f ca="1">IF(F374="","",$B$6+C374*$B$5-SUM($F$2:F374))</f>
        <v/>
      </c>
    </row>
    <row r="375" spans="4:7" x14ac:dyDescent="0.25">
      <c r="D375" t="str">
        <f ca="1">IF(SUM($D$2:D374)&gt;$B$4,"",D374+_xll.RiskExpon($B$3))</f>
        <v/>
      </c>
      <c r="E375" t="str">
        <f t="shared" ca="1" si="5"/>
        <v/>
      </c>
      <c r="F375" t="str">
        <f ca="1">IF(E375="","",_xll.RiskNormal($B$1,$B$2,_xll.RiskTruncate($B$8,$B$9)))</f>
        <v/>
      </c>
      <c r="G375" t="str">
        <f ca="1">IF(F375="","",$B$6+C375*$B$5-SUM($F$2:F375))</f>
        <v/>
      </c>
    </row>
    <row r="376" spans="4:7" x14ac:dyDescent="0.25">
      <c r="D376" t="str">
        <f ca="1">IF(SUM($D$2:D375)&gt;$B$4,"",D375+_xll.RiskExpon($B$3))</f>
        <v/>
      </c>
      <c r="E376" t="str">
        <f t="shared" ca="1" si="5"/>
        <v/>
      </c>
      <c r="F376" t="str">
        <f ca="1">IF(E376="","",_xll.RiskNormal($B$1,$B$2,_xll.RiskTruncate($B$8,$B$9)))</f>
        <v/>
      </c>
      <c r="G376" t="str">
        <f ca="1">IF(F376="","",$B$6+C376*$B$5-SUM($F$2:F376))</f>
        <v/>
      </c>
    </row>
    <row r="377" spans="4:7" x14ac:dyDescent="0.25">
      <c r="D377" t="str">
        <f ca="1">IF(SUM($D$2:D376)&gt;$B$4,"",D376+_xll.RiskExpon($B$3))</f>
        <v/>
      </c>
      <c r="E377" t="str">
        <f t="shared" ca="1" si="5"/>
        <v/>
      </c>
      <c r="F377" t="str">
        <f ca="1">IF(E377="","",_xll.RiskNormal($B$1,$B$2,_xll.RiskTruncate($B$8,$B$9)))</f>
        <v/>
      </c>
      <c r="G377" t="str">
        <f ca="1">IF(F377="","",$B$6+C377*$B$5-SUM($F$2:F377))</f>
        <v/>
      </c>
    </row>
    <row r="378" spans="4:7" x14ac:dyDescent="0.25">
      <c r="D378" t="str">
        <f ca="1">IF(SUM($D$2:D377)&gt;$B$4,"",D377+_xll.RiskExpon($B$3))</f>
        <v/>
      </c>
      <c r="E378" t="str">
        <f t="shared" ca="1" si="5"/>
        <v/>
      </c>
      <c r="F378" t="str">
        <f ca="1">IF(E378="","",_xll.RiskNormal($B$1,$B$2,_xll.RiskTruncate($B$8,$B$9)))</f>
        <v/>
      </c>
      <c r="G378" t="str">
        <f ca="1">IF(F378="","",$B$6+C378*$B$5-SUM($F$2:F378))</f>
        <v/>
      </c>
    </row>
    <row r="379" spans="4:7" x14ac:dyDescent="0.25">
      <c r="D379" t="str">
        <f ca="1">IF(SUM($D$2:D378)&gt;$B$4,"",D378+_xll.RiskExpon($B$3))</f>
        <v/>
      </c>
      <c r="E379" t="str">
        <f t="shared" ca="1" si="5"/>
        <v/>
      </c>
      <c r="F379" t="str">
        <f ca="1">IF(E379="","",_xll.RiskNormal($B$1,$B$2,_xll.RiskTruncate($B$8,$B$9)))</f>
        <v/>
      </c>
      <c r="G379" t="str">
        <f ca="1">IF(F379="","",$B$6+C379*$B$5-SUM($F$2:F379))</f>
        <v/>
      </c>
    </row>
    <row r="380" spans="4:7" x14ac:dyDescent="0.25">
      <c r="D380" t="str">
        <f ca="1">IF(SUM($D$2:D379)&gt;$B$4,"",D379+_xll.RiskExpon($B$3))</f>
        <v/>
      </c>
      <c r="E380" t="str">
        <f t="shared" ca="1" si="5"/>
        <v/>
      </c>
      <c r="F380" t="str">
        <f ca="1">IF(E380="","",_xll.RiskNormal($B$1,$B$2,_xll.RiskTruncate($B$8,$B$9)))</f>
        <v/>
      </c>
      <c r="G380" t="str">
        <f ca="1">IF(F380="","",$B$6+C380*$B$5-SUM($F$2:F380))</f>
        <v/>
      </c>
    </row>
    <row r="381" spans="4:7" x14ac:dyDescent="0.25">
      <c r="D381" t="str">
        <f ca="1">IF(SUM($D$2:D380)&gt;$B$4,"",D380+_xll.RiskExpon($B$3))</f>
        <v/>
      </c>
      <c r="E381" t="str">
        <f t="shared" ca="1" si="5"/>
        <v/>
      </c>
      <c r="F381" t="str">
        <f ca="1">IF(E381="","",_xll.RiskNormal($B$1,$B$2,_xll.RiskTruncate($B$8,$B$9)))</f>
        <v/>
      </c>
      <c r="G381" t="str">
        <f ca="1">IF(F381="","",$B$6+C381*$B$5-SUM($F$2:F381))</f>
        <v/>
      </c>
    </row>
    <row r="382" spans="4:7" x14ac:dyDescent="0.25">
      <c r="D382" t="str">
        <f ca="1">IF(SUM($D$2:D381)&gt;$B$4,"",D381+_xll.RiskExpon($B$3))</f>
        <v/>
      </c>
      <c r="E382" t="str">
        <f t="shared" ca="1" si="5"/>
        <v/>
      </c>
      <c r="F382" t="str">
        <f ca="1">IF(E382="","",_xll.RiskNormal($B$1,$B$2,_xll.RiskTruncate($B$8,$B$9)))</f>
        <v/>
      </c>
      <c r="G382" t="str">
        <f ca="1">IF(F382="","",$B$6+C382*$B$5-SUM($F$2:F382))</f>
        <v/>
      </c>
    </row>
    <row r="383" spans="4:7" x14ac:dyDescent="0.25">
      <c r="D383" t="str">
        <f ca="1">IF(SUM($D$2:D382)&gt;$B$4,"",D382+_xll.RiskExpon($B$3))</f>
        <v/>
      </c>
      <c r="E383" t="str">
        <f t="shared" ca="1" si="5"/>
        <v/>
      </c>
      <c r="F383" t="str">
        <f ca="1">IF(E383="","",_xll.RiskNormal($B$1,$B$2,_xll.RiskTruncate($B$8,$B$9)))</f>
        <v/>
      </c>
      <c r="G383" t="str">
        <f ca="1">IF(F383="","",$B$6+C383*$B$5-SUM($F$2:F383))</f>
        <v/>
      </c>
    </row>
    <row r="384" spans="4:7" x14ac:dyDescent="0.25">
      <c r="D384" t="str">
        <f ca="1">IF(SUM($D$2:D383)&gt;$B$4,"",D383+_xll.RiskExpon($B$3))</f>
        <v/>
      </c>
      <c r="E384" t="str">
        <f t="shared" ca="1" si="5"/>
        <v/>
      </c>
      <c r="F384" t="str">
        <f ca="1">IF(E384="","",_xll.RiskNormal($B$1,$B$2,_xll.RiskTruncate($B$8,$B$9)))</f>
        <v/>
      </c>
      <c r="G384" t="str">
        <f ca="1">IF(F384="","",$B$6+C384*$B$5-SUM($F$2:F384))</f>
        <v/>
      </c>
    </row>
    <row r="385" spans="4:7" x14ac:dyDescent="0.25">
      <c r="D385" t="str">
        <f ca="1">IF(SUM($D$2:D384)&gt;$B$4,"",D384+_xll.RiskExpon($B$3))</f>
        <v/>
      </c>
      <c r="E385" t="str">
        <f t="shared" ca="1" si="5"/>
        <v/>
      </c>
      <c r="F385" t="str">
        <f ca="1">IF(E385="","",_xll.RiskNormal($B$1,$B$2,_xll.RiskTruncate($B$8,$B$9)))</f>
        <v/>
      </c>
      <c r="G385" t="str">
        <f ca="1">IF(F385="","",$B$6+C385*$B$5-SUM($F$2:F385))</f>
        <v/>
      </c>
    </row>
    <row r="386" spans="4:7" x14ac:dyDescent="0.25">
      <c r="D386" t="str">
        <f ca="1">IF(SUM($D$2:D385)&gt;$B$4,"",D385+_xll.RiskExpon($B$3))</f>
        <v/>
      </c>
      <c r="E386" t="str">
        <f t="shared" ca="1" si="5"/>
        <v/>
      </c>
      <c r="F386" t="str">
        <f ca="1">IF(E386="","",_xll.RiskNormal($B$1,$B$2,_xll.RiskTruncate($B$8,$B$9)))</f>
        <v/>
      </c>
      <c r="G386" t="str">
        <f ca="1">IF(F386="","",$B$6+C386*$B$5-SUM($F$2:F386))</f>
        <v/>
      </c>
    </row>
    <row r="387" spans="4:7" x14ac:dyDescent="0.25">
      <c r="D387" t="str">
        <f ca="1">IF(SUM($D$2:D386)&gt;$B$4,"",D386+_xll.RiskExpon($B$3))</f>
        <v/>
      </c>
      <c r="E387" t="str">
        <f t="shared" ca="1" si="5"/>
        <v/>
      </c>
      <c r="F387" t="str">
        <f ca="1">IF(E387="","",_xll.RiskNormal($B$1,$B$2,_xll.RiskTruncate($B$8,$B$9)))</f>
        <v/>
      </c>
      <c r="G387" t="str">
        <f ca="1">IF(F387="","",$B$6+C387*$B$5-SUM($F$2:F387))</f>
        <v/>
      </c>
    </row>
    <row r="388" spans="4:7" x14ac:dyDescent="0.25">
      <c r="D388" t="str">
        <f ca="1">IF(SUM($D$2:D387)&gt;$B$4,"",D387+_xll.RiskExpon($B$3))</f>
        <v/>
      </c>
      <c r="E388" t="str">
        <f t="shared" ref="E388:E451" ca="1" si="6">IF(E387&lt;$B$7,E387+1,"")</f>
        <v/>
      </c>
      <c r="F388" t="str">
        <f ca="1">IF(E388="","",_xll.RiskNormal($B$1,$B$2,_xll.RiskTruncate($B$8,$B$9)))</f>
        <v/>
      </c>
      <c r="G388" t="str">
        <f ca="1">IF(F388="","",$B$6+C388*$B$5-SUM($F$2:F388))</f>
        <v/>
      </c>
    </row>
    <row r="389" spans="4:7" x14ac:dyDescent="0.25">
      <c r="D389" t="str">
        <f ca="1">IF(SUM($D$2:D388)&gt;$B$4,"",D388+_xll.RiskExpon($B$3))</f>
        <v/>
      </c>
      <c r="E389" t="str">
        <f t="shared" ca="1" si="6"/>
        <v/>
      </c>
      <c r="F389" t="str">
        <f ca="1">IF(E389="","",_xll.RiskNormal($B$1,$B$2,_xll.RiskTruncate($B$8,$B$9)))</f>
        <v/>
      </c>
      <c r="G389" t="str">
        <f ca="1">IF(F389="","",$B$6+C389*$B$5-SUM($F$2:F389))</f>
        <v/>
      </c>
    </row>
    <row r="390" spans="4:7" x14ac:dyDescent="0.25">
      <c r="D390" t="str">
        <f ca="1">IF(SUM($D$2:D389)&gt;$B$4,"",D389+_xll.RiskExpon($B$3))</f>
        <v/>
      </c>
      <c r="E390" t="str">
        <f t="shared" ca="1" si="6"/>
        <v/>
      </c>
      <c r="F390" t="str">
        <f ca="1">IF(E390="","",_xll.RiskNormal($B$1,$B$2,_xll.RiskTruncate($B$8,$B$9)))</f>
        <v/>
      </c>
      <c r="G390" t="str">
        <f ca="1">IF(F390="","",$B$6+C390*$B$5-SUM($F$2:F390))</f>
        <v/>
      </c>
    </row>
    <row r="391" spans="4:7" x14ac:dyDescent="0.25">
      <c r="D391" t="str">
        <f ca="1">IF(SUM($D$2:D390)&gt;$B$4,"",D390+_xll.RiskExpon($B$3))</f>
        <v/>
      </c>
      <c r="E391" t="str">
        <f t="shared" ca="1" si="6"/>
        <v/>
      </c>
      <c r="F391" t="str">
        <f ca="1">IF(E391="","",_xll.RiskNormal($B$1,$B$2,_xll.RiskTruncate($B$8,$B$9)))</f>
        <v/>
      </c>
      <c r="G391" t="str">
        <f ca="1">IF(F391="","",$B$6+C391*$B$5-SUM($F$2:F391))</f>
        <v/>
      </c>
    </row>
    <row r="392" spans="4:7" x14ac:dyDescent="0.25">
      <c r="D392" t="str">
        <f ca="1">IF(SUM($D$2:D391)&gt;$B$4,"",D391+_xll.RiskExpon($B$3))</f>
        <v/>
      </c>
      <c r="E392" t="str">
        <f t="shared" ca="1" si="6"/>
        <v/>
      </c>
      <c r="F392" t="str">
        <f ca="1">IF(E392="","",_xll.RiskNormal($B$1,$B$2,_xll.RiskTruncate($B$8,$B$9)))</f>
        <v/>
      </c>
      <c r="G392" t="str">
        <f ca="1">IF(F392="","",$B$6+C392*$B$5-SUM($F$2:F392))</f>
        <v/>
      </c>
    </row>
    <row r="393" spans="4:7" x14ac:dyDescent="0.25">
      <c r="D393" t="str">
        <f ca="1">IF(SUM($D$2:D392)&gt;$B$4,"",D392+_xll.RiskExpon($B$3))</f>
        <v/>
      </c>
      <c r="E393" t="str">
        <f t="shared" ca="1" si="6"/>
        <v/>
      </c>
      <c r="F393" t="str">
        <f ca="1">IF(E393="","",_xll.RiskNormal($B$1,$B$2,_xll.RiskTruncate($B$8,$B$9)))</f>
        <v/>
      </c>
      <c r="G393" t="str">
        <f ca="1">IF(F393="","",$B$6+C393*$B$5-SUM($F$2:F393))</f>
        <v/>
      </c>
    </row>
    <row r="394" spans="4:7" x14ac:dyDescent="0.25">
      <c r="D394" t="str">
        <f ca="1">IF(SUM($D$2:D393)&gt;$B$4,"",D393+_xll.RiskExpon($B$3))</f>
        <v/>
      </c>
      <c r="E394" t="str">
        <f t="shared" ca="1" si="6"/>
        <v/>
      </c>
      <c r="F394" t="str">
        <f ca="1">IF(E394="","",_xll.RiskNormal($B$1,$B$2,_xll.RiskTruncate($B$8,$B$9)))</f>
        <v/>
      </c>
      <c r="G394" t="str">
        <f ca="1">IF(F394="","",$B$6+C394*$B$5-SUM($F$2:F394))</f>
        <v/>
      </c>
    </row>
    <row r="395" spans="4:7" x14ac:dyDescent="0.25">
      <c r="D395" t="str">
        <f ca="1">IF(SUM($D$2:D394)&gt;$B$4,"",D394+_xll.RiskExpon($B$3))</f>
        <v/>
      </c>
      <c r="E395" t="str">
        <f t="shared" ca="1" si="6"/>
        <v/>
      </c>
      <c r="F395" t="str">
        <f ca="1">IF(E395="","",_xll.RiskNormal($B$1,$B$2,_xll.RiskTruncate($B$8,$B$9)))</f>
        <v/>
      </c>
      <c r="G395" t="str">
        <f ca="1">IF(F395="","",$B$6+C395*$B$5-SUM($F$2:F395))</f>
        <v/>
      </c>
    </row>
    <row r="396" spans="4:7" x14ac:dyDescent="0.25">
      <c r="D396" t="str">
        <f ca="1">IF(SUM($D$2:D395)&gt;$B$4,"",D395+_xll.RiskExpon($B$3))</f>
        <v/>
      </c>
      <c r="E396" t="str">
        <f t="shared" ca="1" si="6"/>
        <v/>
      </c>
      <c r="F396" t="str">
        <f ca="1">IF(E396="","",_xll.RiskNormal($B$1,$B$2,_xll.RiskTruncate($B$8,$B$9)))</f>
        <v/>
      </c>
      <c r="G396" t="str">
        <f ca="1">IF(F396="","",$B$6+C396*$B$5-SUM($F$2:F396))</f>
        <v/>
      </c>
    </row>
    <row r="397" spans="4:7" x14ac:dyDescent="0.25">
      <c r="D397" t="str">
        <f ca="1">IF(SUM($D$2:D396)&gt;$B$4,"",D396+_xll.RiskExpon($B$3))</f>
        <v/>
      </c>
      <c r="E397" t="str">
        <f t="shared" ca="1" si="6"/>
        <v/>
      </c>
      <c r="F397" t="str">
        <f ca="1">IF(E397="","",_xll.RiskNormal($B$1,$B$2,_xll.RiskTruncate($B$8,$B$9)))</f>
        <v/>
      </c>
      <c r="G397" t="str">
        <f ca="1">IF(F397="","",$B$6+C397*$B$5-SUM($F$2:F397))</f>
        <v/>
      </c>
    </row>
    <row r="398" spans="4:7" x14ac:dyDescent="0.25">
      <c r="D398" t="str">
        <f ca="1">IF(SUM($D$2:D397)&gt;$B$4,"",D397+_xll.RiskExpon($B$3))</f>
        <v/>
      </c>
      <c r="E398" t="str">
        <f t="shared" ca="1" si="6"/>
        <v/>
      </c>
      <c r="F398" t="str">
        <f ca="1">IF(E398="","",_xll.RiskNormal($B$1,$B$2,_xll.RiskTruncate($B$8,$B$9)))</f>
        <v/>
      </c>
      <c r="G398" t="str">
        <f ca="1">IF(F398="","",$B$6+C398*$B$5-SUM($F$2:F398))</f>
        <v/>
      </c>
    </row>
    <row r="399" spans="4:7" x14ac:dyDescent="0.25">
      <c r="D399" t="str">
        <f ca="1">IF(SUM($D$2:D398)&gt;$B$4,"",D398+_xll.RiskExpon($B$3))</f>
        <v/>
      </c>
      <c r="E399" t="str">
        <f t="shared" ca="1" si="6"/>
        <v/>
      </c>
      <c r="F399" t="str">
        <f ca="1">IF(E399="","",_xll.RiskNormal($B$1,$B$2,_xll.RiskTruncate($B$8,$B$9)))</f>
        <v/>
      </c>
      <c r="G399" t="str">
        <f ca="1">IF(F399="","",$B$6+C399*$B$5-SUM($F$2:F399))</f>
        <v/>
      </c>
    </row>
    <row r="400" spans="4:7" x14ac:dyDescent="0.25">
      <c r="D400" t="str">
        <f ca="1">IF(SUM($D$2:D399)&gt;$B$4,"",D399+_xll.RiskExpon($B$3))</f>
        <v/>
      </c>
      <c r="E400" t="str">
        <f t="shared" ca="1" si="6"/>
        <v/>
      </c>
      <c r="F400" t="str">
        <f ca="1">IF(E400="","",_xll.RiskNormal($B$1,$B$2,_xll.RiskTruncate($B$8,$B$9)))</f>
        <v/>
      </c>
      <c r="G400" t="str">
        <f ca="1">IF(F400="","",$B$6+C400*$B$5-SUM($F$2:F400))</f>
        <v/>
      </c>
    </row>
    <row r="401" spans="4:7" x14ac:dyDescent="0.25">
      <c r="D401" t="str">
        <f ca="1">IF(SUM($D$2:D400)&gt;$B$4,"",D400+_xll.RiskExpon($B$3))</f>
        <v/>
      </c>
      <c r="E401" t="str">
        <f t="shared" ca="1" si="6"/>
        <v/>
      </c>
      <c r="F401" t="str">
        <f ca="1">IF(E401="","",_xll.RiskNormal($B$1,$B$2,_xll.RiskTruncate($B$8,$B$9)))</f>
        <v/>
      </c>
      <c r="G401" t="str">
        <f ca="1">IF(F401="","",$B$6+C401*$B$5-SUM($F$2:F401))</f>
        <v/>
      </c>
    </row>
    <row r="402" spans="4:7" x14ac:dyDescent="0.25">
      <c r="D402" t="str">
        <f ca="1">IF(SUM($D$2:D401)&gt;$B$4,"",D401+_xll.RiskExpon($B$3))</f>
        <v/>
      </c>
      <c r="E402" t="str">
        <f t="shared" ca="1" si="6"/>
        <v/>
      </c>
      <c r="F402" t="str">
        <f ca="1">IF(E402="","",_xll.RiskNormal($B$1,$B$2,_xll.RiskTruncate($B$8,$B$9)))</f>
        <v/>
      </c>
      <c r="G402" t="str">
        <f ca="1">IF(F402="","",$B$6+C402*$B$5-SUM($F$2:F402))</f>
        <v/>
      </c>
    </row>
    <row r="403" spans="4:7" x14ac:dyDescent="0.25">
      <c r="D403" t="str">
        <f ca="1">IF(SUM($D$2:D402)&gt;$B$4,"",D402+_xll.RiskExpon($B$3))</f>
        <v/>
      </c>
      <c r="E403" t="str">
        <f t="shared" ca="1" si="6"/>
        <v/>
      </c>
      <c r="F403" t="str">
        <f ca="1">IF(E403="","",_xll.RiskNormal($B$1,$B$2,_xll.RiskTruncate($B$8,$B$9)))</f>
        <v/>
      </c>
      <c r="G403" t="str">
        <f ca="1">IF(F403="","",$B$6+C403*$B$5-SUM($F$2:F403))</f>
        <v/>
      </c>
    </row>
    <row r="404" spans="4:7" x14ac:dyDescent="0.25">
      <c r="D404" t="str">
        <f ca="1">IF(SUM($D$2:D403)&gt;$B$4,"",D403+_xll.RiskExpon($B$3))</f>
        <v/>
      </c>
      <c r="E404" t="str">
        <f t="shared" ca="1" si="6"/>
        <v/>
      </c>
      <c r="F404" t="str">
        <f ca="1">IF(E404="","",_xll.RiskNormal($B$1,$B$2,_xll.RiskTruncate($B$8,$B$9)))</f>
        <v/>
      </c>
      <c r="G404" t="str">
        <f ca="1">IF(F404="","",$B$6+C404*$B$5-SUM($F$2:F404))</f>
        <v/>
      </c>
    </row>
    <row r="405" spans="4:7" x14ac:dyDescent="0.25">
      <c r="D405" t="str">
        <f ca="1">IF(SUM($D$2:D404)&gt;$B$4,"",D404+_xll.RiskExpon($B$3))</f>
        <v/>
      </c>
      <c r="E405" t="str">
        <f t="shared" ca="1" si="6"/>
        <v/>
      </c>
      <c r="F405" t="str">
        <f ca="1">IF(E405="","",_xll.RiskNormal($B$1,$B$2,_xll.RiskTruncate($B$8,$B$9)))</f>
        <v/>
      </c>
      <c r="G405" t="str">
        <f ca="1">IF(F405="","",$B$6+C405*$B$5-SUM($F$2:F405))</f>
        <v/>
      </c>
    </row>
    <row r="406" spans="4:7" x14ac:dyDescent="0.25">
      <c r="D406" t="str">
        <f ca="1">IF(SUM($D$2:D405)&gt;$B$4,"",D405+_xll.RiskExpon($B$3))</f>
        <v/>
      </c>
      <c r="E406" t="str">
        <f t="shared" ca="1" si="6"/>
        <v/>
      </c>
      <c r="F406" t="str">
        <f ca="1">IF(E406="","",_xll.RiskNormal($B$1,$B$2,_xll.RiskTruncate($B$8,$B$9)))</f>
        <v/>
      </c>
      <c r="G406" t="str">
        <f ca="1">IF(F406="","",$B$6+C406*$B$5-SUM($F$2:F406))</f>
        <v/>
      </c>
    </row>
    <row r="407" spans="4:7" x14ac:dyDescent="0.25">
      <c r="D407" t="str">
        <f ca="1">IF(SUM($D$2:D406)&gt;$B$4,"",D406+_xll.RiskExpon($B$3))</f>
        <v/>
      </c>
      <c r="E407" t="str">
        <f t="shared" ca="1" si="6"/>
        <v/>
      </c>
      <c r="F407" t="str">
        <f ca="1">IF(E407="","",_xll.RiskNormal($B$1,$B$2,_xll.RiskTruncate($B$8,$B$9)))</f>
        <v/>
      </c>
      <c r="G407" t="str">
        <f ca="1">IF(F407="","",$B$6+C407*$B$5-SUM($F$2:F407))</f>
        <v/>
      </c>
    </row>
    <row r="408" spans="4:7" x14ac:dyDescent="0.25">
      <c r="D408" t="str">
        <f ca="1">IF(SUM($D$2:D407)&gt;$B$4,"",D407+_xll.RiskExpon($B$3))</f>
        <v/>
      </c>
      <c r="E408" t="str">
        <f t="shared" ca="1" si="6"/>
        <v/>
      </c>
      <c r="F408" t="str">
        <f ca="1">IF(E408="","",_xll.RiskNormal($B$1,$B$2,_xll.RiskTruncate($B$8,$B$9)))</f>
        <v/>
      </c>
      <c r="G408" t="str">
        <f ca="1">IF(F408="","",$B$6+C408*$B$5-SUM($F$2:F408))</f>
        <v/>
      </c>
    </row>
    <row r="409" spans="4:7" x14ac:dyDescent="0.25">
      <c r="D409" t="str">
        <f ca="1">IF(SUM($D$2:D408)&gt;$B$4,"",D408+_xll.RiskExpon($B$3))</f>
        <v/>
      </c>
      <c r="E409" t="str">
        <f t="shared" ca="1" si="6"/>
        <v/>
      </c>
      <c r="F409" t="str">
        <f ca="1">IF(E409="","",_xll.RiskNormal($B$1,$B$2,_xll.RiskTruncate($B$8,$B$9)))</f>
        <v/>
      </c>
      <c r="G409" t="str">
        <f ca="1">IF(F409="","",$B$6+C409*$B$5-SUM($F$2:F409))</f>
        <v/>
      </c>
    </row>
    <row r="410" spans="4:7" x14ac:dyDescent="0.25">
      <c r="D410" t="str">
        <f ca="1">IF(SUM($D$2:D409)&gt;$B$4,"",D409+_xll.RiskExpon($B$3))</f>
        <v/>
      </c>
      <c r="E410" t="str">
        <f t="shared" ca="1" si="6"/>
        <v/>
      </c>
      <c r="F410" t="str">
        <f ca="1">IF(E410="","",_xll.RiskNormal($B$1,$B$2,_xll.RiskTruncate($B$8,$B$9)))</f>
        <v/>
      </c>
      <c r="G410" t="str">
        <f ca="1">IF(F410="","",$B$6+C410*$B$5-SUM($F$2:F410))</f>
        <v/>
      </c>
    </row>
    <row r="411" spans="4:7" x14ac:dyDescent="0.25">
      <c r="D411" t="str">
        <f ca="1">IF(SUM($D$2:D410)&gt;$B$4,"",D410+_xll.RiskExpon($B$3))</f>
        <v/>
      </c>
      <c r="E411" t="str">
        <f t="shared" ca="1" si="6"/>
        <v/>
      </c>
      <c r="F411" t="str">
        <f ca="1">IF(E411="","",_xll.RiskNormal($B$1,$B$2,_xll.RiskTruncate($B$8,$B$9)))</f>
        <v/>
      </c>
      <c r="G411" t="str">
        <f ca="1">IF(F411="","",$B$6+C411*$B$5-SUM($F$2:F411))</f>
        <v/>
      </c>
    </row>
    <row r="412" spans="4:7" x14ac:dyDescent="0.25">
      <c r="D412" t="str">
        <f ca="1">IF(SUM($D$2:D411)&gt;$B$4,"",D411+_xll.RiskExpon($B$3))</f>
        <v/>
      </c>
      <c r="E412" t="str">
        <f t="shared" ca="1" si="6"/>
        <v/>
      </c>
      <c r="F412" t="str">
        <f ca="1">IF(E412="","",_xll.RiskNormal($B$1,$B$2,_xll.RiskTruncate($B$8,$B$9)))</f>
        <v/>
      </c>
      <c r="G412" t="str">
        <f ca="1">IF(F412="","",$B$6+C412*$B$5-SUM($F$2:F412))</f>
        <v/>
      </c>
    </row>
    <row r="413" spans="4:7" x14ac:dyDescent="0.25">
      <c r="D413" t="str">
        <f ca="1">IF(SUM($D$2:D412)&gt;$B$4,"",D412+_xll.RiskExpon($B$3))</f>
        <v/>
      </c>
      <c r="E413" t="str">
        <f t="shared" ca="1" si="6"/>
        <v/>
      </c>
      <c r="F413" t="str">
        <f ca="1">IF(E413="","",_xll.RiskNormal($B$1,$B$2,_xll.RiskTruncate($B$8,$B$9)))</f>
        <v/>
      </c>
      <c r="G413" t="str">
        <f ca="1">IF(F413="","",$B$6+C413*$B$5-SUM($F$2:F413))</f>
        <v/>
      </c>
    </row>
    <row r="414" spans="4:7" x14ac:dyDescent="0.25">
      <c r="D414" t="str">
        <f ca="1">IF(SUM($D$2:D413)&gt;$B$4,"",D413+_xll.RiskExpon($B$3))</f>
        <v/>
      </c>
      <c r="E414" t="str">
        <f t="shared" ca="1" si="6"/>
        <v/>
      </c>
      <c r="F414" t="str">
        <f ca="1">IF(E414="","",_xll.RiskNormal($B$1,$B$2,_xll.RiskTruncate($B$8,$B$9)))</f>
        <v/>
      </c>
      <c r="G414" t="str">
        <f ca="1">IF(F414="","",$B$6+C414*$B$5-SUM($F$2:F414))</f>
        <v/>
      </c>
    </row>
    <row r="415" spans="4:7" x14ac:dyDescent="0.25">
      <c r="D415" t="str">
        <f ca="1">IF(SUM($D$2:D414)&gt;$B$4,"",D414+_xll.RiskExpon($B$3))</f>
        <v/>
      </c>
      <c r="E415" t="str">
        <f t="shared" ca="1" si="6"/>
        <v/>
      </c>
      <c r="F415" t="str">
        <f ca="1">IF(E415="","",_xll.RiskNormal($B$1,$B$2,_xll.RiskTruncate($B$8,$B$9)))</f>
        <v/>
      </c>
      <c r="G415" t="str">
        <f ca="1">IF(F415="","",$B$6+C415*$B$5-SUM($F$2:F415))</f>
        <v/>
      </c>
    </row>
    <row r="416" spans="4:7" x14ac:dyDescent="0.25">
      <c r="D416" t="str">
        <f ca="1">IF(SUM($D$2:D415)&gt;$B$4,"",D415+_xll.RiskExpon($B$3))</f>
        <v/>
      </c>
      <c r="E416" t="str">
        <f t="shared" ca="1" si="6"/>
        <v/>
      </c>
      <c r="F416" t="str">
        <f ca="1">IF(E416="","",_xll.RiskNormal($B$1,$B$2,_xll.RiskTruncate($B$8,$B$9)))</f>
        <v/>
      </c>
      <c r="G416" t="str">
        <f ca="1">IF(F416="","",$B$6+C416*$B$5-SUM($F$2:F416))</f>
        <v/>
      </c>
    </row>
    <row r="417" spans="4:7" x14ac:dyDescent="0.25">
      <c r="D417" t="str">
        <f ca="1">IF(SUM($D$2:D416)&gt;$B$4,"",D416+_xll.RiskExpon($B$3))</f>
        <v/>
      </c>
      <c r="E417" t="str">
        <f t="shared" ca="1" si="6"/>
        <v/>
      </c>
      <c r="F417" t="str">
        <f ca="1">IF(E417="","",_xll.RiskNormal($B$1,$B$2,_xll.RiskTruncate($B$8,$B$9)))</f>
        <v/>
      </c>
      <c r="G417" t="str">
        <f ca="1">IF(F417="","",$B$6+C417*$B$5-SUM($F$2:F417))</f>
        <v/>
      </c>
    </row>
    <row r="418" spans="4:7" x14ac:dyDescent="0.25">
      <c r="D418" t="str">
        <f ca="1">IF(SUM($D$2:D417)&gt;$B$4,"",D417+_xll.RiskExpon($B$3))</f>
        <v/>
      </c>
      <c r="E418" t="str">
        <f t="shared" ca="1" si="6"/>
        <v/>
      </c>
      <c r="F418" t="str">
        <f ca="1">IF(E418="","",_xll.RiskNormal($B$1,$B$2,_xll.RiskTruncate($B$8,$B$9)))</f>
        <v/>
      </c>
      <c r="G418" t="str">
        <f ca="1">IF(F418="","",$B$6+C418*$B$5-SUM($F$2:F418))</f>
        <v/>
      </c>
    </row>
    <row r="419" spans="4:7" x14ac:dyDescent="0.25">
      <c r="D419" t="str">
        <f ca="1">IF(SUM($D$2:D418)&gt;$B$4,"",D418+_xll.RiskExpon($B$3))</f>
        <v/>
      </c>
      <c r="E419" t="str">
        <f t="shared" ca="1" si="6"/>
        <v/>
      </c>
      <c r="F419" t="str">
        <f ca="1">IF(E419="","",_xll.RiskNormal($B$1,$B$2,_xll.RiskTruncate($B$8,$B$9)))</f>
        <v/>
      </c>
      <c r="G419" t="str">
        <f ca="1">IF(F419="","",$B$6+C419*$B$5-SUM($F$2:F419))</f>
        <v/>
      </c>
    </row>
    <row r="420" spans="4:7" x14ac:dyDescent="0.25">
      <c r="D420" t="str">
        <f ca="1">IF(SUM($D$2:D419)&gt;$B$4,"",D419+_xll.RiskExpon($B$3))</f>
        <v/>
      </c>
      <c r="E420" t="str">
        <f t="shared" ca="1" si="6"/>
        <v/>
      </c>
      <c r="F420" t="str">
        <f ca="1">IF(E420="","",_xll.RiskNormal($B$1,$B$2,_xll.RiskTruncate($B$8,$B$9)))</f>
        <v/>
      </c>
      <c r="G420" t="str">
        <f ca="1">IF(F420="","",$B$6+C420*$B$5-SUM($F$2:F420))</f>
        <v/>
      </c>
    </row>
    <row r="421" spans="4:7" x14ac:dyDescent="0.25">
      <c r="D421" t="str">
        <f ca="1">IF(SUM($D$2:D420)&gt;$B$4,"",D420+_xll.RiskExpon($B$3))</f>
        <v/>
      </c>
      <c r="E421" t="str">
        <f t="shared" ca="1" si="6"/>
        <v/>
      </c>
      <c r="F421" t="str">
        <f ca="1">IF(E421="","",_xll.RiskNormal($B$1,$B$2,_xll.RiskTruncate($B$8,$B$9)))</f>
        <v/>
      </c>
      <c r="G421" t="str">
        <f ca="1">IF(F421="","",$B$6+C421*$B$5-SUM($F$2:F421))</f>
        <v/>
      </c>
    </row>
    <row r="422" spans="4:7" x14ac:dyDescent="0.25">
      <c r="D422" t="str">
        <f ca="1">IF(SUM($D$2:D421)&gt;$B$4,"",D421+_xll.RiskExpon($B$3))</f>
        <v/>
      </c>
      <c r="E422" t="str">
        <f t="shared" ca="1" si="6"/>
        <v/>
      </c>
      <c r="F422" t="str">
        <f ca="1">IF(E422="","",_xll.RiskNormal($B$1,$B$2,_xll.RiskTruncate($B$8,$B$9)))</f>
        <v/>
      </c>
      <c r="G422" t="str">
        <f ca="1">IF(F422="","",$B$6+C422*$B$5-SUM($F$2:F422))</f>
        <v/>
      </c>
    </row>
    <row r="423" spans="4:7" x14ac:dyDescent="0.25">
      <c r="D423" t="str">
        <f ca="1">IF(SUM($D$2:D422)&gt;$B$4,"",D422+_xll.RiskExpon($B$3))</f>
        <v/>
      </c>
      <c r="E423" t="str">
        <f t="shared" ca="1" si="6"/>
        <v/>
      </c>
      <c r="F423" t="str">
        <f ca="1">IF(E423="","",_xll.RiskNormal($B$1,$B$2,_xll.RiskTruncate($B$8,$B$9)))</f>
        <v/>
      </c>
      <c r="G423" t="str">
        <f ca="1">IF(F423="","",$B$6+C423*$B$5-SUM($F$2:F423))</f>
        <v/>
      </c>
    </row>
    <row r="424" spans="4:7" x14ac:dyDescent="0.25">
      <c r="D424" t="str">
        <f ca="1">IF(SUM($D$2:D423)&gt;$B$4,"",D423+_xll.RiskExpon($B$3))</f>
        <v/>
      </c>
      <c r="E424" t="str">
        <f t="shared" ca="1" si="6"/>
        <v/>
      </c>
      <c r="F424" t="str">
        <f ca="1">IF(E424="","",_xll.RiskNormal($B$1,$B$2,_xll.RiskTruncate($B$8,$B$9)))</f>
        <v/>
      </c>
      <c r="G424" t="str">
        <f ca="1">IF(F424="","",$B$6+C424*$B$5-SUM($F$2:F424))</f>
        <v/>
      </c>
    </row>
    <row r="425" spans="4:7" x14ac:dyDescent="0.25">
      <c r="D425" t="str">
        <f ca="1">IF(SUM($D$2:D424)&gt;$B$4,"",D424+_xll.RiskExpon($B$3))</f>
        <v/>
      </c>
      <c r="E425" t="str">
        <f t="shared" ca="1" si="6"/>
        <v/>
      </c>
      <c r="F425" t="str">
        <f ca="1">IF(E425="","",_xll.RiskNormal($B$1,$B$2,_xll.RiskTruncate($B$8,$B$9)))</f>
        <v/>
      </c>
      <c r="G425" t="str">
        <f ca="1">IF(F425="","",$B$6+C425*$B$5-SUM($F$2:F425))</f>
        <v/>
      </c>
    </row>
    <row r="426" spans="4:7" x14ac:dyDescent="0.25">
      <c r="D426" t="str">
        <f ca="1">IF(SUM($D$2:D425)&gt;$B$4,"",D425+_xll.RiskExpon($B$3))</f>
        <v/>
      </c>
      <c r="E426" t="str">
        <f t="shared" ca="1" si="6"/>
        <v/>
      </c>
      <c r="F426" t="str">
        <f ca="1">IF(E426="","",_xll.RiskNormal($B$1,$B$2,_xll.RiskTruncate($B$8,$B$9)))</f>
        <v/>
      </c>
      <c r="G426" t="str">
        <f ca="1">IF(F426="","",$B$6+C426*$B$5-SUM($F$2:F426))</f>
        <v/>
      </c>
    </row>
    <row r="427" spans="4:7" x14ac:dyDescent="0.25">
      <c r="D427" t="str">
        <f ca="1">IF(SUM($D$2:D426)&gt;$B$4,"",D426+_xll.RiskExpon($B$3))</f>
        <v/>
      </c>
      <c r="E427" t="str">
        <f t="shared" ca="1" si="6"/>
        <v/>
      </c>
      <c r="F427" t="str">
        <f ca="1">IF(E427="","",_xll.RiskNormal($B$1,$B$2,_xll.RiskTruncate($B$8,$B$9)))</f>
        <v/>
      </c>
      <c r="G427" t="str">
        <f ca="1">IF(F427="","",$B$6+C427*$B$5-SUM($F$2:F427))</f>
        <v/>
      </c>
    </row>
    <row r="428" spans="4:7" x14ac:dyDescent="0.25">
      <c r="D428" t="str">
        <f ca="1">IF(SUM($D$2:D427)&gt;$B$4,"",D427+_xll.RiskExpon($B$3))</f>
        <v/>
      </c>
      <c r="E428" t="str">
        <f t="shared" ca="1" si="6"/>
        <v/>
      </c>
      <c r="F428" t="str">
        <f ca="1">IF(E428="","",_xll.RiskNormal($B$1,$B$2,_xll.RiskTruncate($B$8,$B$9)))</f>
        <v/>
      </c>
      <c r="G428" t="str">
        <f ca="1">IF(F428="","",$B$6+C428*$B$5-SUM($F$2:F428))</f>
        <v/>
      </c>
    </row>
    <row r="429" spans="4:7" x14ac:dyDescent="0.25">
      <c r="D429" t="str">
        <f ca="1">IF(SUM($D$2:D428)&gt;$B$4,"",D428+_xll.RiskExpon($B$3))</f>
        <v/>
      </c>
      <c r="E429" t="str">
        <f t="shared" ca="1" si="6"/>
        <v/>
      </c>
      <c r="F429" t="str">
        <f ca="1">IF(E429="","",_xll.RiskNormal($B$1,$B$2,_xll.RiskTruncate($B$8,$B$9)))</f>
        <v/>
      </c>
      <c r="G429" t="str">
        <f ca="1">IF(F429="","",$B$6+C429*$B$5-SUM($F$2:F429))</f>
        <v/>
      </c>
    </row>
    <row r="430" spans="4:7" x14ac:dyDescent="0.25">
      <c r="D430" t="str">
        <f ca="1">IF(SUM($D$2:D429)&gt;$B$4,"",D429+_xll.RiskExpon($B$3))</f>
        <v/>
      </c>
      <c r="E430" t="str">
        <f t="shared" ca="1" si="6"/>
        <v/>
      </c>
      <c r="F430" t="str">
        <f ca="1">IF(E430="","",_xll.RiskNormal($B$1,$B$2,_xll.RiskTruncate($B$8,$B$9)))</f>
        <v/>
      </c>
      <c r="G430" t="str">
        <f ca="1">IF(F430="","",$B$6+C430*$B$5-SUM($F$2:F430))</f>
        <v/>
      </c>
    </row>
    <row r="431" spans="4:7" x14ac:dyDescent="0.25">
      <c r="D431" t="str">
        <f ca="1">IF(SUM($D$2:D430)&gt;$B$4,"",D430+_xll.RiskExpon($B$3))</f>
        <v/>
      </c>
      <c r="E431" t="str">
        <f t="shared" ca="1" si="6"/>
        <v/>
      </c>
      <c r="F431" t="str">
        <f ca="1">IF(E431="","",_xll.RiskNormal($B$1,$B$2,_xll.RiskTruncate($B$8,$B$9)))</f>
        <v/>
      </c>
      <c r="G431" t="str">
        <f ca="1">IF(F431="","",$B$6+C431*$B$5-SUM($F$2:F431))</f>
        <v/>
      </c>
    </row>
    <row r="432" spans="4:7" x14ac:dyDescent="0.25">
      <c r="D432" t="str">
        <f ca="1">IF(SUM($D$2:D431)&gt;$B$4,"",D431+_xll.RiskExpon($B$3))</f>
        <v/>
      </c>
      <c r="E432" t="str">
        <f t="shared" ca="1" si="6"/>
        <v/>
      </c>
      <c r="F432" t="str">
        <f ca="1">IF(E432="","",_xll.RiskNormal($B$1,$B$2,_xll.RiskTruncate($B$8,$B$9)))</f>
        <v/>
      </c>
      <c r="G432" t="str">
        <f ca="1">IF(F432="","",$B$6+C432*$B$5-SUM($F$2:F432))</f>
        <v/>
      </c>
    </row>
    <row r="433" spans="4:7" x14ac:dyDescent="0.25">
      <c r="D433" t="str">
        <f ca="1">IF(SUM($D$2:D432)&gt;$B$4,"",D432+_xll.RiskExpon($B$3))</f>
        <v/>
      </c>
      <c r="E433" t="str">
        <f t="shared" ca="1" si="6"/>
        <v/>
      </c>
      <c r="F433" t="str">
        <f ca="1">IF(E433="","",_xll.RiskNormal($B$1,$B$2,_xll.RiskTruncate($B$8,$B$9)))</f>
        <v/>
      </c>
      <c r="G433" t="str">
        <f ca="1">IF(F433="","",$B$6+C433*$B$5-SUM($F$2:F433))</f>
        <v/>
      </c>
    </row>
    <row r="434" spans="4:7" x14ac:dyDescent="0.25">
      <c r="D434" t="str">
        <f ca="1">IF(SUM($D$2:D433)&gt;$B$4,"",D433+_xll.RiskExpon($B$3))</f>
        <v/>
      </c>
      <c r="E434" t="str">
        <f t="shared" ca="1" si="6"/>
        <v/>
      </c>
      <c r="F434" t="str">
        <f ca="1">IF(E434="","",_xll.RiskNormal($B$1,$B$2,_xll.RiskTruncate($B$8,$B$9)))</f>
        <v/>
      </c>
      <c r="G434" t="str">
        <f ca="1">IF(F434="","",$B$6+C434*$B$5-SUM($F$2:F434))</f>
        <v/>
      </c>
    </row>
    <row r="435" spans="4:7" x14ac:dyDescent="0.25">
      <c r="D435" t="str">
        <f ca="1">IF(SUM($D$2:D434)&gt;$B$4,"",D434+_xll.RiskExpon($B$3))</f>
        <v/>
      </c>
      <c r="E435" t="str">
        <f t="shared" ca="1" si="6"/>
        <v/>
      </c>
      <c r="F435" t="str">
        <f ca="1">IF(E435="","",_xll.RiskNormal($B$1,$B$2,_xll.RiskTruncate($B$8,$B$9)))</f>
        <v/>
      </c>
      <c r="G435" t="str">
        <f ca="1">IF(F435="","",$B$6+C435*$B$5-SUM($F$2:F435))</f>
        <v/>
      </c>
    </row>
    <row r="436" spans="4:7" x14ac:dyDescent="0.25">
      <c r="D436" t="str">
        <f ca="1">IF(SUM($D$2:D435)&gt;$B$4,"",D435+_xll.RiskExpon($B$3))</f>
        <v/>
      </c>
      <c r="E436" t="str">
        <f t="shared" ca="1" si="6"/>
        <v/>
      </c>
      <c r="F436" t="str">
        <f ca="1">IF(E436="","",_xll.RiskNormal($B$1,$B$2,_xll.RiskTruncate($B$8,$B$9)))</f>
        <v/>
      </c>
      <c r="G436" t="str">
        <f ca="1">IF(F436="","",$B$6+C436*$B$5-SUM($F$2:F436))</f>
        <v/>
      </c>
    </row>
    <row r="437" spans="4:7" x14ac:dyDescent="0.25">
      <c r="D437" t="str">
        <f ca="1">IF(SUM($D$2:D436)&gt;$B$4,"",D436+_xll.RiskExpon($B$3))</f>
        <v/>
      </c>
      <c r="E437" t="str">
        <f t="shared" ca="1" si="6"/>
        <v/>
      </c>
      <c r="F437" t="str">
        <f ca="1">IF(E437="","",_xll.RiskNormal($B$1,$B$2,_xll.RiskTruncate($B$8,$B$9)))</f>
        <v/>
      </c>
      <c r="G437" t="str">
        <f ca="1">IF(F437="","",$B$6+C437*$B$5-SUM($F$2:F437))</f>
        <v/>
      </c>
    </row>
    <row r="438" spans="4:7" x14ac:dyDescent="0.25">
      <c r="D438" t="str">
        <f ca="1">IF(SUM($D$2:D437)&gt;$B$4,"",D437+_xll.RiskExpon($B$3))</f>
        <v/>
      </c>
      <c r="E438" t="str">
        <f t="shared" ca="1" si="6"/>
        <v/>
      </c>
      <c r="F438" t="str">
        <f ca="1">IF(E438="","",_xll.RiskNormal($B$1,$B$2,_xll.RiskTruncate($B$8,$B$9)))</f>
        <v/>
      </c>
      <c r="G438" t="str">
        <f ca="1">IF(F438="","",$B$6+C438*$B$5-SUM($F$2:F438))</f>
        <v/>
      </c>
    </row>
    <row r="439" spans="4:7" x14ac:dyDescent="0.25">
      <c r="D439" t="str">
        <f ca="1">IF(SUM($D$2:D438)&gt;$B$4,"",D438+_xll.RiskExpon($B$3))</f>
        <v/>
      </c>
      <c r="E439" t="str">
        <f t="shared" ca="1" si="6"/>
        <v/>
      </c>
      <c r="F439" t="str">
        <f ca="1">IF(E439="","",_xll.RiskNormal($B$1,$B$2,_xll.RiskTruncate($B$8,$B$9)))</f>
        <v/>
      </c>
      <c r="G439" t="str">
        <f ca="1">IF(F439="","",$B$6+C439*$B$5-SUM($F$2:F439))</f>
        <v/>
      </c>
    </row>
    <row r="440" spans="4:7" x14ac:dyDescent="0.25">
      <c r="D440" t="str">
        <f ca="1">IF(SUM($D$2:D439)&gt;$B$4,"",D439+_xll.RiskExpon($B$3))</f>
        <v/>
      </c>
      <c r="E440" t="str">
        <f t="shared" ca="1" si="6"/>
        <v/>
      </c>
      <c r="F440" t="str">
        <f ca="1">IF(E440="","",_xll.RiskNormal($B$1,$B$2,_xll.RiskTruncate($B$8,$B$9)))</f>
        <v/>
      </c>
      <c r="G440" t="str">
        <f ca="1">IF(F440="","",$B$6+C440*$B$5-SUM($F$2:F440))</f>
        <v/>
      </c>
    </row>
    <row r="441" spans="4:7" x14ac:dyDescent="0.25">
      <c r="D441" t="str">
        <f ca="1">IF(SUM($D$2:D440)&gt;$B$4,"",D440+_xll.RiskExpon($B$3))</f>
        <v/>
      </c>
      <c r="E441" t="str">
        <f t="shared" ca="1" si="6"/>
        <v/>
      </c>
      <c r="F441" t="str">
        <f ca="1">IF(E441="","",_xll.RiskNormal($B$1,$B$2,_xll.RiskTruncate($B$8,$B$9)))</f>
        <v/>
      </c>
      <c r="G441" t="str">
        <f ca="1">IF(F441="","",$B$6+C441*$B$5-SUM($F$2:F441))</f>
        <v/>
      </c>
    </row>
    <row r="442" spans="4:7" x14ac:dyDescent="0.25">
      <c r="D442" t="str">
        <f ca="1">IF(SUM($D$2:D441)&gt;$B$4,"",D441+_xll.RiskExpon($B$3))</f>
        <v/>
      </c>
      <c r="E442" t="str">
        <f t="shared" ca="1" si="6"/>
        <v/>
      </c>
      <c r="F442" t="str">
        <f ca="1">IF(E442="","",_xll.RiskNormal($B$1,$B$2,_xll.RiskTruncate($B$8,$B$9)))</f>
        <v/>
      </c>
      <c r="G442" t="str">
        <f ca="1">IF(F442="","",$B$6+C442*$B$5-SUM($F$2:F442))</f>
        <v/>
      </c>
    </row>
    <row r="443" spans="4:7" x14ac:dyDescent="0.25">
      <c r="D443" t="str">
        <f ca="1">IF(SUM($D$2:D442)&gt;$B$4,"",D442+_xll.RiskExpon($B$3))</f>
        <v/>
      </c>
      <c r="E443" t="str">
        <f t="shared" ca="1" si="6"/>
        <v/>
      </c>
      <c r="F443" t="str">
        <f ca="1">IF(E443="","",_xll.RiskNormal($B$1,$B$2,_xll.RiskTruncate($B$8,$B$9)))</f>
        <v/>
      </c>
      <c r="G443" t="str">
        <f ca="1">IF(F443="","",$B$6+C443*$B$5-SUM($F$2:F443))</f>
        <v/>
      </c>
    </row>
    <row r="444" spans="4:7" x14ac:dyDescent="0.25">
      <c r="D444" t="str">
        <f ca="1">IF(SUM($D$2:D443)&gt;$B$4,"",D443+_xll.RiskExpon($B$3))</f>
        <v/>
      </c>
      <c r="E444" t="str">
        <f t="shared" ca="1" si="6"/>
        <v/>
      </c>
      <c r="F444" t="str">
        <f ca="1">IF(E444="","",_xll.RiskNormal($B$1,$B$2,_xll.RiskTruncate($B$8,$B$9)))</f>
        <v/>
      </c>
      <c r="G444" t="str">
        <f ca="1">IF(F444="","",$B$6+C444*$B$5-SUM($F$2:F444))</f>
        <v/>
      </c>
    </row>
    <row r="445" spans="4:7" x14ac:dyDescent="0.25">
      <c r="D445" t="str">
        <f ca="1">IF(SUM($D$2:D444)&gt;$B$4,"",D444+_xll.RiskExpon($B$3))</f>
        <v/>
      </c>
      <c r="E445" t="str">
        <f t="shared" ca="1" si="6"/>
        <v/>
      </c>
      <c r="F445" t="str">
        <f ca="1">IF(E445="","",_xll.RiskNormal($B$1,$B$2,_xll.RiskTruncate($B$8,$B$9)))</f>
        <v/>
      </c>
      <c r="G445" t="str">
        <f ca="1">IF(F445="","",$B$6+C445*$B$5-SUM($F$2:F445))</f>
        <v/>
      </c>
    </row>
    <row r="446" spans="4:7" x14ac:dyDescent="0.25">
      <c r="D446" t="str">
        <f ca="1">IF(SUM($D$2:D445)&gt;$B$4,"",D445+_xll.RiskExpon($B$3))</f>
        <v/>
      </c>
      <c r="E446" t="str">
        <f t="shared" ca="1" si="6"/>
        <v/>
      </c>
      <c r="F446" t="str">
        <f ca="1">IF(E446="","",_xll.RiskNormal($B$1,$B$2,_xll.RiskTruncate($B$8,$B$9)))</f>
        <v/>
      </c>
      <c r="G446" t="str">
        <f ca="1">IF(F446="","",$B$6+C446*$B$5-SUM($F$2:F446))</f>
        <v/>
      </c>
    </row>
    <row r="447" spans="4:7" x14ac:dyDescent="0.25">
      <c r="D447" t="str">
        <f ca="1">IF(SUM($D$2:D446)&gt;$B$4,"",D446+_xll.RiskExpon($B$3))</f>
        <v/>
      </c>
      <c r="E447" t="str">
        <f t="shared" ca="1" si="6"/>
        <v/>
      </c>
      <c r="F447" t="str">
        <f ca="1">IF(E447="","",_xll.RiskNormal($B$1,$B$2,_xll.RiskTruncate($B$8,$B$9)))</f>
        <v/>
      </c>
      <c r="G447" t="str">
        <f ca="1">IF(F447="","",$B$6+C447*$B$5-SUM($F$2:F447))</f>
        <v/>
      </c>
    </row>
    <row r="448" spans="4:7" x14ac:dyDescent="0.25">
      <c r="D448" t="str">
        <f ca="1">IF(SUM($D$2:D447)&gt;$B$4,"",D447+_xll.RiskExpon($B$3))</f>
        <v/>
      </c>
      <c r="E448" t="str">
        <f t="shared" ca="1" si="6"/>
        <v/>
      </c>
      <c r="F448" t="str">
        <f ca="1">IF(E448="","",_xll.RiskNormal($B$1,$B$2,_xll.RiskTruncate($B$8,$B$9)))</f>
        <v/>
      </c>
      <c r="G448" t="str">
        <f ca="1">IF(F448="","",$B$6+C448*$B$5-SUM($F$2:F448))</f>
        <v/>
      </c>
    </row>
    <row r="449" spans="4:7" x14ac:dyDescent="0.25">
      <c r="D449" t="str">
        <f ca="1">IF(SUM($D$2:D448)&gt;$B$4,"",D448+_xll.RiskExpon($B$3))</f>
        <v/>
      </c>
      <c r="E449" t="str">
        <f t="shared" ca="1" si="6"/>
        <v/>
      </c>
      <c r="F449" t="str">
        <f ca="1">IF(E449="","",_xll.RiskNormal($B$1,$B$2,_xll.RiskTruncate($B$8,$B$9)))</f>
        <v/>
      </c>
      <c r="G449" t="str">
        <f ca="1">IF(F449="","",$B$6+C449*$B$5-SUM($F$2:F449))</f>
        <v/>
      </c>
    </row>
    <row r="450" spans="4:7" x14ac:dyDescent="0.25">
      <c r="D450" t="str">
        <f ca="1">IF(SUM($D$2:D449)&gt;$B$4,"",D449+_xll.RiskExpon($B$3))</f>
        <v/>
      </c>
      <c r="E450" t="str">
        <f t="shared" ca="1" si="6"/>
        <v/>
      </c>
      <c r="F450" t="str">
        <f ca="1">IF(E450="","",_xll.RiskNormal($B$1,$B$2,_xll.RiskTruncate($B$8,$B$9)))</f>
        <v/>
      </c>
      <c r="G450" t="str">
        <f ca="1">IF(F450="","",$B$6+C450*$B$5-SUM($F$2:F450))</f>
        <v/>
      </c>
    </row>
    <row r="451" spans="4:7" x14ac:dyDescent="0.25">
      <c r="D451" t="str">
        <f ca="1">IF(SUM($D$2:D450)&gt;$B$4,"",D450+_xll.RiskExpon($B$3))</f>
        <v/>
      </c>
      <c r="E451" t="str">
        <f t="shared" ca="1" si="6"/>
        <v/>
      </c>
      <c r="F451" t="str">
        <f ca="1">IF(E451="","",_xll.RiskNormal($B$1,$B$2,_xll.RiskTruncate($B$8,$B$9)))</f>
        <v/>
      </c>
      <c r="G451" t="str">
        <f ca="1">IF(F451="","",$B$6+C451*$B$5-SUM($F$2:F451))</f>
        <v/>
      </c>
    </row>
    <row r="452" spans="4:7" x14ac:dyDescent="0.25">
      <c r="D452" t="str">
        <f ca="1">IF(SUM($D$2:D451)&gt;$B$4,"",D451+_xll.RiskExpon($B$3))</f>
        <v/>
      </c>
      <c r="E452" t="str">
        <f t="shared" ref="E452:E499" ca="1" si="7">IF(E451&lt;$B$7,E451+1,"")</f>
        <v/>
      </c>
      <c r="F452" t="str">
        <f ca="1">IF(E452="","",_xll.RiskNormal($B$1,$B$2,_xll.RiskTruncate($B$8,$B$9)))</f>
        <v/>
      </c>
      <c r="G452" t="str">
        <f ca="1">IF(F452="","",$B$6+C452*$B$5-SUM($F$2:F452))</f>
        <v/>
      </c>
    </row>
    <row r="453" spans="4:7" x14ac:dyDescent="0.25">
      <c r="D453" t="str">
        <f ca="1">IF(SUM($D$2:D452)&gt;$B$4,"",D452+_xll.RiskExpon($B$3))</f>
        <v/>
      </c>
      <c r="E453" t="str">
        <f t="shared" ca="1" si="7"/>
        <v/>
      </c>
      <c r="F453" t="str">
        <f ca="1">IF(E453="","",_xll.RiskNormal($B$1,$B$2,_xll.RiskTruncate($B$8,$B$9)))</f>
        <v/>
      </c>
      <c r="G453" t="str">
        <f ca="1">IF(F453="","",$B$6+C453*$B$5-SUM($F$2:F453))</f>
        <v/>
      </c>
    </row>
    <row r="454" spans="4:7" x14ac:dyDescent="0.25">
      <c r="D454" t="str">
        <f ca="1">IF(SUM($D$2:D453)&gt;$B$4,"",D453+_xll.RiskExpon($B$3))</f>
        <v/>
      </c>
      <c r="E454" t="str">
        <f t="shared" ca="1" si="7"/>
        <v/>
      </c>
      <c r="F454" t="str">
        <f ca="1">IF(E454="","",_xll.RiskNormal($B$1,$B$2,_xll.RiskTruncate($B$8,$B$9)))</f>
        <v/>
      </c>
      <c r="G454" t="str">
        <f ca="1">IF(F454="","",$B$6+C454*$B$5-SUM($F$2:F454))</f>
        <v/>
      </c>
    </row>
    <row r="455" spans="4:7" x14ac:dyDescent="0.25">
      <c r="D455" t="str">
        <f ca="1">IF(SUM($D$2:D454)&gt;$B$4,"",D454+_xll.RiskExpon($B$3))</f>
        <v/>
      </c>
      <c r="E455" t="str">
        <f t="shared" ca="1" si="7"/>
        <v/>
      </c>
      <c r="F455" t="str">
        <f ca="1">IF(E455="","",_xll.RiskNormal($B$1,$B$2,_xll.RiskTruncate($B$8,$B$9)))</f>
        <v/>
      </c>
      <c r="G455" t="str">
        <f ca="1">IF(F455="","",$B$6+C455*$B$5-SUM($F$2:F455))</f>
        <v/>
      </c>
    </row>
    <row r="456" spans="4:7" x14ac:dyDescent="0.25">
      <c r="D456" t="str">
        <f ca="1">IF(SUM($D$2:D455)&gt;$B$4,"",D455+_xll.RiskExpon($B$3))</f>
        <v/>
      </c>
      <c r="E456" t="str">
        <f t="shared" ca="1" si="7"/>
        <v/>
      </c>
      <c r="F456" t="str">
        <f ca="1">IF(E456="","",_xll.RiskNormal($B$1,$B$2,_xll.RiskTruncate($B$8,$B$9)))</f>
        <v/>
      </c>
      <c r="G456" t="str">
        <f ca="1">IF(F456="","",$B$6+C456*$B$5-SUM($F$2:F456))</f>
        <v/>
      </c>
    </row>
    <row r="457" spans="4:7" x14ac:dyDescent="0.25">
      <c r="D457" t="str">
        <f ca="1">IF(SUM($D$2:D456)&gt;$B$4,"",D456+_xll.RiskExpon($B$3))</f>
        <v/>
      </c>
      <c r="E457" t="str">
        <f t="shared" ca="1" si="7"/>
        <v/>
      </c>
      <c r="F457" t="str">
        <f ca="1">IF(E457="","",_xll.RiskNormal($B$1,$B$2,_xll.RiskTruncate($B$8,$B$9)))</f>
        <v/>
      </c>
      <c r="G457" t="str">
        <f ca="1">IF(F457="","",$B$6+C457*$B$5-SUM($F$2:F457))</f>
        <v/>
      </c>
    </row>
    <row r="458" spans="4:7" x14ac:dyDescent="0.25">
      <c r="D458" t="str">
        <f ca="1">IF(SUM($D$2:D457)&gt;$B$4,"",D457+_xll.RiskExpon($B$3))</f>
        <v/>
      </c>
      <c r="E458" t="str">
        <f t="shared" ca="1" si="7"/>
        <v/>
      </c>
      <c r="F458" t="str">
        <f ca="1">IF(E458="","",_xll.RiskNormal($B$1,$B$2,_xll.RiskTruncate($B$8,$B$9)))</f>
        <v/>
      </c>
      <c r="G458" t="str">
        <f ca="1">IF(F458="","",$B$6+C458*$B$5-SUM($F$2:F458))</f>
        <v/>
      </c>
    </row>
    <row r="459" spans="4:7" x14ac:dyDescent="0.25">
      <c r="D459" t="str">
        <f ca="1">IF(SUM($D$2:D458)&gt;$B$4,"",D458+_xll.RiskExpon($B$3))</f>
        <v/>
      </c>
      <c r="E459" t="str">
        <f t="shared" ca="1" si="7"/>
        <v/>
      </c>
      <c r="F459" t="str">
        <f ca="1">IF(E459="","",_xll.RiskNormal($B$1,$B$2,_xll.RiskTruncate($B$8,$B$9)))</f>
        <v/>
      </c>
      <c r="G459" t="str">
        <f ca="1">IF(F459="","",$B$6+C459*$B$5-SUM($F$2:F459))</f>
        <v/>
      </c>
    </row>
    <row r="460" spans="4:7" x14ac:dyDescent="0.25">
      <c r="D460" t="str">
        <f ca="1">IF(SUM($D$2:D459)&gt;$B$4,"",D459+_xll.RiskExpon($B$3))</f>
        <v/>
      </c>
      <c r="E460" t="str">
        <f t="shared" ca="1" si="7"/>
        <v/>
      </c>
      <c r="F460" t="str">
        <f ca="1">IF(E460="","",_xll.RiskNormal($B$1,$B$2,_xll.RiskTruncate($B$8,$B$9)))</f>
        <v/>
      </c>
      <c r="G460" t="str">
        <f ca="1">IF(F460="","",$B$6+C460*$B$5-SUM($F$2:F460))</f>
        <v/>
      </c>
    </row>
    <row r="461" spans="4:7" x14ac:dyDescent="0.25">
      <c r="D461" t="str">
        <f ca="1">IF(SUM($D$2:D460)&gt;$B$4,"",D460+_xll.RiskExpon($B$3))</f>
        <v/>
      </c>
      <c r="E461" t="str">
        <f t="shared" ca="1" si="7"/>
        <v/>
      </c>
      <c r="F461" t="str">
        <f ca="1">IF(E461="","",_xll.RiskNormal($B$1,$B$2,_xll.RiskTruncate($B$8,$B$9)))</f>
        <v/>
      </c>
      <c r="G461" t="str">
        <f ca="1">IF(F461="","",$B$6+C461*$B$5-SUM($F$2:F461))</f>
        <v/>
      </c>
    </row>
    <row r="462" spans="4:7" x14ac:dyDescent="0.25">
      <c r="D462" t="str">
        <f ca="1">IF(SUM($D$2:D461)&gt;$B$4,"",D461+_xll.RiskExpon($B$3))</f>
        <v/>
      </c>
      <c r="E462" t="str">
        <f t="shared" ca="1" si="7"/>
        <v/>
      </c>
      <c r="F462" t="str">
        <f ca="1">IF(E462="","",_xll.RiskNormal($B$1,$B$2,_xll.RiskTruncate($B$8,$B$9)))</f>
        <v/>
      </c>
      <c r="G462" t="str">
        <f ca="1">IF(F462="","",$B$6+C462*$B$5-SUM($F$2:F462))</f>
        <v/>
      </c>
    </row>
    <row r="463" spans="4:7" x14ac:dyDescent="0.25">
      <c r="D463" t="str">
        <f ca="1">IF(SUM($D$2:D462)&gt;$B$4,"",D462+_xll.RiskExpon($B$3))</f>
        <v/>
      </c>
      <c r="E463" t="str">
        <f t="shared" ca="1" si="7"/>
        <v/>
      </c>
      <c r="F463" t="str">
        <f ca="1">IF(E463="","",_xll.RiskNormal($B$1,$B$2,_xll.RiskTruncate($B$8,$B$9)))</f>
        <v/>
      </c>
      <c r="G463" t="str">
        <f ca="1">IF(F463="","",$B$6+C463*$B$5-SUM($F$2:F463))</f>
        <v/>
      </c>
    </row>
    <row r="464" spans="4:7" x14ac:dyDescent="0.25">
      <c r="D464" t="str">
        <f ca="1">IF(SUM($D$2:D463)&gt;$B$4,"",D463+_xll.RiskExpon($B$3))</f>
        <v/>
      </c>
      <c r="E464" t="str">
        <f t="shared" ca="1" si="7"/>
        <v/>
      </c>
      <c r="F464" t="str">
        <f ca="1">IF(E464="","",_xll.RiskNormal($B$1,$B$2,_xll.RiskTruncate($B$8,$B$9)))</f>
        <v/>
      </c>
      <c r="G464" t="str">
        <f ca="1">IF(F464="","",$B$6+C464*$B$5-SUM($F$2:F464))</f>
        <v/>
      </c>
    </row>
    <row r="465" spans="4:7" x14ac:dyDescent="0.25">
      <c r="D465" t="str">
        <f ca="1">IF(SUM($D$2:D464)&gt;$B$4,"",D464+_xll.RiskExpon($B$3))</f>
        <v/>
      </c>
      <c r="E465" t="str">
        <f t="shared" ca="1" si="7"/>
        <v/>
      </c>
      <c r="F465" t="str">
        <f ca="1">IF(E465="","",_xll.RiskNormal($B$1,$B$2,_xll.RiskTruncate($B$8,$B$9)))</f>
        <v/>
      </c>
      <c r="G465" t="str">
        <f ca="1">IF(F465="","",$B$6+C465*$B$5-SUM($F$2:F465))</f>
        <v/>
      </c>
    </row>
    <row r="466" spans="4:7" x14ac:dyDescent="0.25">
      <c r="D466" t="str">
        <f ca="1">IF(SUM($D$2:D465)&gt;$B$4,"",D465+_xll.RiskExpon($B$3))</f>
        <v/>
      </c>
      <c r="E466" t="str">
        <f t="shared" ca="1" si="7"/>
        <v/>
      </c>
      <c r="F466" t="str">
        <f ca="1">IF(E466="","",_xll.RiskNormal($B$1,$B$2,_xll.RiskTruncate($B$8,$B$9)))</f>
        <v/>
      </c>
      <c r="G466" t="str">
        <f ca="1">IF(F466="","",$B$6+C466*$B$5-SUM($F$2:F466))</f>
        <v/>
      </c>
    </row>
    <row r="467" spans="4:7" x14ac:dyDescent="0.25">
      <c r="D467" t="str">
        <f ca="1">IF(SUM($D$2:D466)&gt;$B$4,"",D466+_xll.RiskExpon($B$3))</f>
        <v/>
      </c>
      <c r="E467" t="str">
        <f t="shared" ca="1" si="7"/>
        <v/>
      </c>
      <c r="F467" t="str">
        <f ca="1">IF(E467="","",_xll.RiskNormal($B$1,$B$2,_xll.RiskTruncate($B$8,$B$9)))</f>
        <v/>
      </c>
      <c r="G467" t="str">
        <f ca="1">IF(F467="","",$B$6+C467*$B$5-SUM($F$2:F467))</f>
        <v/>
      </c>
    </row>
    <row r="468" spans="4:7" x14ac:dyDescent="0.25">
      <c r="D468" t="str">
        <f ca="1">IF(SUM($D$2:D467)&gt;$B$4,"",D467+_xll.RiskExpon($B$3))</f>
        <v/>
      </c>
      <c r="E468" t="str">
        <f t="shared" ca="1" si="7"/>
        <v/>
      </c>
      <c r="F468" t="str">
        <f ca="1">IF(E468="","",_xll.RiskNormal($B$1,$B$2,_xll.RiskTruncate($B$8,$B$9)))</f>
        <v/>
      </c>
      <c r="G468" t="str">
        <f ca="1">IF(F468="","",$B$6+C468*$B$5-SUM($F$2:F468))</f>
        <v/>
      </c>
    </row>
    <row r="469" spans="4:7" x14ac:dyDescent="0.25">
      <c r="D469" t="str">
        <f ca="1">IF(SUM($D$2:D468)&gt;$B$4,"",D468+_xll.RiskExpon($B$3))</f>
        <v/>
      </c>
      <c r="E469" t="str">
        <f t="shared" ca="1" si="7"/>
        <v/>
      </c>
      <c r="F469" t="str">
        <f ca="1">IF(E469="","",_xll.RiskNormal($B$1,$B$2,_xll.RiskTruncate($B$8,$B$9)))</f>
        <v/>
      </c>
      <c r="G469" t="str">
        <f ca="1">IF(F469="","",$B$6+C469*$B$5-SUM($F$2:F469))</f>
        <v/>
      </c>
    </row>
    <row r="470" spans="4:7" x14ac:dyDescent="0.25">
      <c r="D470" t="str">
        <f ca="1">IF(SUM($D$2:D469)&gt;$B$4,"",D469+_xll.RiskExpon($B$3))</f>
        <v/>
      </c>
      <c r="E470" t="str">
        <f t="shared" ca="1" si="7"/>
        <v/>
      </c>
      <c r="F470" t="str">
        <f ca="1">IF(E470="","",_xll.RiskNormal($B$1,$B$2,_xll.RiskTruncate($B$8,$B$9)))</f>
        <v/>
      </c>
      <c r="G470" t="str">
        <f ca="1">IF(F470="","",$B$6+C470*$B$5-SUM($F$2:F470))</f>
        <v/>
      </c>
    </row>
    <row r="471" spans="4:7" x14ac:dyDescent="0.25">
      <c r="D471" t="str">
        <f ca="1">IF(SUM($D$2:D470)&gt;$B$4,"",D470+_xll.RiskExpon($B$3))</f>
        <v/>
      </c>
      <c r="E471" t="str">
        <f t="shared" ca="1" si="7"/>
        <v/>
      </c>
      <c r="F471" t="str">
        <f ca="1">IF(E471="","",_xll.RiskNormal($B$1,$B$2,_xll.RiskTruncate($B$8,$B$9)))</f>
        <v/>
      </c>
      <c r="G471" t="str">
        <f ca="1">IF(F471="","",$B$6+C471*$B$5-SUM($F$2:F471))</f>
        <v/>
      </c>
    </row>
    <row r="472" spans="4:7" x14ac:dyDescent="0.25">
      <c r="D472" t="str">
        <f ca="1">IF(SUM($D$2:D471)&gt;$B$4,"",D471+_xll.RiskExpon($B$3))</f>
        <v/>
      </c>
      <c r="E472" t="str">
        <f t="shared" ca="1" si="7"/>
        <v/>
      </c>
      <c r="F472" t="str">
        <f ca="1">IF(E472="","",_xll.RiskNormal($B$1,$B$2,_xll.RiskTruncate($B$8,$B$9)))</f>
        <v/>
      </c>
      <c r="G472" t="str">
        <f ca="1">IF(F472="","",$B$6+C472*$B$5-SUM($F$2:F472))</f>
        <v/>
      </c>
    </row>
    <row r="473" spans="4:7" x14ac:dyDescent="0.25">
      <c r="D473" t="str">
        <f ca="1">IF(SUM($D$2:D472)&gt;$B$4,"",D472+_xll.RiskExpon($B$3))</f>
        <v/>
      </c>
      <c r="E473" t="str">
        <f t="shared" ca="1" si="7"/>
        <v/>
      </c>
      <c r="F473" t="str">
        <f ca="1">IF(E473="","",_xll.RiskNormal($B$1,$B$2,_xll.RiskTruncate($B$8,$B$9)))</f>
        <v/>
      </c>
      <c r="G473" t="str">
        <f ca="1">IF(F473="","",$B$6+C473*$B$5-SUM($F$2:F473))</f>
        <v/>
      </c>
    </row>
    <row r="474" spans="4:7" x14ac:dyDescent="0.25">
      <c r="D474" t="str">
        <f ca="1">IF(SUM($D$2:D473)&gt;$B$4,"",D473+_xll.RiskExpon($B$3))</f>
        <v/>
      </c>
      <c r="E474" t="str">
        <f t="shared" ca="1" si="7"/>
        <v/>
      </c>
      <c r="F474" t="str">
        <f ca="1">IF(E474="","",_xll.RiskNormal($B$1,$B$2,_xll.RiskTruncate($B$8,$B$9)))</f>
        <v/>
      </c>
      <c r="G474" t="str">
        <f ca="1">IF(F474="","",$B$6+C474*$B$5-SUM($F$2:F474))</f>
        <v/>
      </c>
    </row>
    <row r="475" spans="4:7" x14ac:dyDescent="0.25">
      <c r="D475" t="str">
        <f ca="1">IF(SUM($D$2:D474)&gt;$B$4,"",D474+_xll.RiskExpon($B$3))</f>
        <v/>
      </c>
      <c r="E475" t="str">
        <f t="shared" ca="1" si="7"/>
        <v/>
      </c>
      <c r="F475" t="str">
        <f ca="1">IF(E475="","",_xll.RiskNormal($B$1,$B$2,_xll.RiskTruncate($B$8,$B$9)))</f>
        <v/>
      </c>
      <c r="G475" t="str">
        <f ca="1">IF(F475="","",$B$6+C475*$B$5-SUM($F$2:F475))</f>
        <v/>
      </c>
    </row>
    <row r="476" spans="4:7" x14ac:dyDescent="0.25">
      <c r="D476" t="str">
        <f ca="1">IF(SUM($D$2:D475)&gt;$B$4,"",D475+_xll.RiskExpon($B$3))</f>
        <v/>
      </c>
      <c r="E476" t="str">
        <f t="shared" ca="1" si="7"/>
        <v/>
      </c>
      <c r="F476" t="str">
        <f ca="1">IF(E476="","",_xll.RiskNormal($B$1,$B$2,_xll.RiskTruncate($B$8,$B$9)))</f>
        <v/>
      </c>
      <c r="G476" t="str">
        <f ca="1">IF(F476="","",$B$6+C476*$B$5-SUM($F$2:F476))</f>
        <v/>
      </c>
    </row>
    <row r="477" spans="4:7" x14ac:dyDescent="0.25">
      <c r="D477" t="str">
        <f ca="1">IF(SUM($D$2:D476)&gt;$B$4,"",D476+_xll.RiskExpon($B$3))</f>
        <v/>
      </c>
      <c r="E477" t="str">
        <f t="shared" ca="1" si="7"/>
        <v/>
      </c>
      <c r="F477" t="str">
        <f ca="1">IF(E477="","",_xll.RiskNormal($B$1,$B$2,_xll.RiskTruncate($B$8,$B$9)))</f>
        <v/>
      </c>
      <c r="G477" t="str">
        <f ca="1">IF(F477="","",$B$6+C477*$B$5-SUM($F$2:F477))</f>
        <v/>
      </c>
    </row>
    <row r="478" spans="4:7" x14ac:dyDescent="0.25">
      <c r="D478" t="str">
        <f ca="1">IF(SUM($D$2:D477)&gt;$B$4,"",D477+_xll.RiskExpon($B$3))</f>
        <v/>
      </c>
      <c r="E478" t="str">
        <f t="shared" ca="1" si="7"/>
        <v/>
      </c>
      <c r="F478" t="str">
        <f ca="1">IF(E478="","",_xll.RiskNormal($B$1,$B$2,_xll.RiskTruncate($B$8,$B$9)))</f>
        <v/>
      </c>
      <c r="G478" t="str">
        <f ca="1">IF(F478="","",$B$6+C478*$B$5-SUM($F$2:F478))</f>
        <v/>
      </c>
    </row>
    <row r="479" spans="4:7" x14ac:dyDescent="0.25">
      <c r="D479" t="str">
        <f ca="1">IF(SUM($D$2:D478)&gt;$B$4,"",D478+_xll.RiskExpon($B$3))</f>
        <v/>
      </c>
      <c r="E479" t="str">
        <f t="shared" ca="1" si="7"/>
        <v/>
      </c>
      <c r="F479" t="str">
        <f ca="1">IF(E479="","",_xll.RiskNormal($B$1,$B$2,_xll.RiskTruncate($B$8,$B$9)))</f>
        <v/>
      </c>
      <c r="G479" t="str">
        <f ca="1">IF(F479="","",$B$6+C479*$B$5-SUM($F$2:F479))</f>
        <v/>
      </c>
    </row>
    <row r="480" spans="4:7" x14ac:dyDescent="0.25">
      <c r="D480" t="str">
        <f ca="1">IF(SUM($D$2:D479)&gt;$B$4,"",D479+_xll.RiskExpon($B$3))</f>
        <v/>
      </c>
      <c r="E480" t="str">
        <f t="shared" ca="1" si="7"/>
        <v/>
      </c>
      <c r="F480" t="str">
        <f ca="1">IF(E480="","",_xll.RiskNormal($B$1,$B$2,_xll.RiskTruncate($B$8,$B$9)))</f>
        <v/>
      </c>
      <c r="G480" t="str">
        <f ca="1">IF(F480="","",$B$6+C480*$B$5-SUM($F$2:F480))</f>
        <v/>
      </c>
    </row>
    <row r="481" spans="4:7" x14ac:dyDescent="0.25">
      <c r="D481" t="str">
        <f ca="1">IF(SUM($D$2:D480)&gt;$B$4,"",D480+_xll.RiskExpon($B$3))</f>
        <v/>
      </c>
      <c r="E481" t="str">
        <f t="shared" ca="1" si="7"/>
        <v/>
      </c>
      <c r="F481" t="str">
        <f ca="1">IF(E481="","",_xll.RiskNormal($B$1,$B$2,_xll.RiskTruncate($B$8,$B$9)))</f>
        <v/>
      </c>
      <c r="G481" t="str">
        <f ca="1">IF(F481="","",$B$6+C481*$B$5-SUM($F$2:F481))</f>
        <v/>
      </c>
    </row>
    <row r="482" spans="4:7" x14ac:dyDescent="0.25">
      <c r="D482" t="str">
        <f ca="1">IF(SUM($D$2:D481)&gt;$B$4,"",D481+_xll.RiskExpon($B$3))</f>
        <v/>
      </c>
      <c r="E482" t="str">
        <f t="shared" ca="1" si="7"/>
        <v/>
      </c>
      <c r="F482" t="str">
        <f ca="1">IF(E482="","",_xll.RiskNormal($B$1,$B$2,_xll.RiskTruncate($B$8,$B$9)))</f>
        <v/>
      </c>
      <c r="G482" t="str">
        <f ca="1">IF(F482="","",$B$6+C482*$B$5-SUM($F$2:F482))</f>
        <v/>
      </c>
    </row>
    <row r="483" spans="4:7" x14ac:dyDescent="0.25">
      <c r="D483" t="str">
        <f ca="1">IF(SUM($D$2:D482)&gt;$B$4,"",D482+_xll.RiskExpon($B$3))</f>
        <v/>
      </c>
      <c r="E483" t="str">
        <f t="shared" ca="1" si="7"/>
        <v/>
      </c>
      <c r="F483" t="str">
        <f ca="1">IF(E483="","",_xll.RiskNormal($B$1,$B$2,_xll.RiskTruncate($B$8,$B$9)))</f>
        <v/>
      </c>
      <c r="G483" t="str">
        <f ca="1">IF(F483="","",$B$6+C483*$B$5-SUM($F$2:F483))</f>
        <v/>
      </c>
    </row>
    <row r="484" spans="4:7" x14ac:dyDescent="0.25">
      <c r="D484" t="str">
        <f ca="1">IF(SUM($D$2:D483)&gt;$B$4,"",D483+_xll.RiskExpon($B$3))</f>
        <v/>
      </c>
      <c r="E484" t="str">
        <f t="shared" ca="1" si="7"/>
        <v/>
      </c>
      <c r="F484" t="str">
        <f ca="1">IF(E484="","",_xll.RiskNormal($B$1,$B$2,_xll.RiskTruncate($B$8,$B$9)))</f>
        <v/>
      </c>
      <c r="G484" t="str">
        <f ca="1">IF(F484="","",$B$6+C484*$B$5-SUM($F$2:F484))</f>
        <v/>
      </c>
    </row>
    <row r="485" spans="4:7" x14ac:dyDescent="0.25">
      <c r="D485" t="str">
        <f ca="1">IF(SUM($D$2:D484)&gt;$B$4,"",D484+_xll.RiskExpon($B$3))</f>
        <v/>
      </c>
      <c r="E485" t="str">
        <f t="shared" ca="1" si="7"/>
        <v/>
      </c>
      <c r="F485" t="str">
        <f ca="1">IF(E485="","",_xll.RiskNormal($B$1,$B$2,_xll.RiskTruncate($B$8,$B$9)))</f>
        <v/>
      </c>
      <c r="G485" t="str">
        <f ca="1">IF(F485="","",$B$6+C485*$B$5-SUM($F$2:F485))</f>
        <v/>
      </c>
    </row>
    <row r="486" spans="4:7" x14ac:dyDescent="0.25">
      <c r="D486" t="str">
        <f ca="1">IF(SUM($D$2:D485)&gt;$B$4,"",D485+_xll.RiskExpon($B$3))</f>
        <v/>
      </c>
      <c r="E486" t="str">
        <f t="shared" ca="1" si="7"/>
        <v/>
      </c>
      <c r="F486" t="str">
        <f ca="1">IF(E486="","",_xll.RiskNormal($B$1,$B$2,_xll.RiskTruncate($B$8,$B$9)))</f>
        <v/>
      </c>
      <c r="G486" t="str">
        <f ca="1">IF(F486="","",$B$6+C486*$B$5-SUM($F$2:F486))</f>
        <v/>
      </c>
    </row>
    <row r="487" spans="4:7" x14ac:dyDescent="0.25">
      <c r="D487" t="str">
        <f ca="1">IF(SUM($D$2:D486)&gt;$B$4,"",D486+_xll.RiskExpon($B$3))</f>
        <v/>
      </c>
      <c r="E487" t="str">
        <f t="shared" ca="1" si="7"/>
        <v/>
      </c>
      <c r="F487" t="str">
        <f ca="1">IF(E487="","",_xll.RiskNormal($B$1,$B$2,_xll.RiskTruncate($B$8,$B$9)))</f>
        <v/>
      </c>
      <c r="G487" t="str">
        <f ca="1">IF(F487="","",$B$6+C487*$B$5-SUM($F$2:F487))</f>
        <v/>
      </c>
    </row>
    <row r="488" spans="4:7" x14ac:dyDescent="0.25">
      <c r="D488" t="str">
        <f ca="1">IF(SUM($D$2:D487)&gt;$B$4,"",D487+_xll.RiskExpon($B$3))</f>
        <v/>
      </c>
      <c r="E488" t="str">
        <f t="shared" ca="1" si="7"/>
        <v/>
      </c>
      <c r="F488" t="str">
        <f ca="1">IF(E488="","",_xll.RiskNormal($B$1,$B$2,_xll.RiskTruncate($B$8,$B$9)))</f>
        <v/>
      </c>
      <c r="G488" t="str">
        <f ca="1">IF(F488="","",$B$6+C488*$B$5-SUM($F$2:F488))</f>
        <v/>
      </c>
    </row>
    <row r="489" spans="4:7" x14ac:dyDescent="0.25">
      <c r="D489" t="str">
        <f ca="1">IF(SUM($D$2:D488)&gt;$B$4,"",D488+_xll.RiskExpon($B$3))</f>
        <v/>
      </c>
      <c r="E489" t="str">
        <f t="shared" ca="1" si="7"/>
        <v/>
      </c>
      <c r="F489" t="str">
        <f ca="1">IF(E489="","",_xll.RiskNormal($B$1,$B$2,_xll.RiskTruncate($B$8,$B$9)))</f>
        <v/>
      </c>
      <c r="G489" t="str">
        <f ca="1">IF(F489="","",$B$6+C489*$B$5-SUM($F$2:F489))</f>
        <v/>
      </c>
    </row>
    <row r="490" spans="4:7" x14ac:dyDescent="0.25">
      <c r="D490" t="str">
        <f ca="1">IF(SUM($D$2:D489)&gt;$B$4,"",D489+_xll.RiskExpon($B$3))</f>
        <v/>
      </c>
      <c r="E490" t="str">
        <f t="shared" ca="1" si="7"/>
        <v/>
      </c>
      <c r="F490" t="str">
        <f ca="1">IF(E490="","",_xll.RiskNormal($B$1,$B$2,_xll.RiskTruncate($B$8,$B$9)))</f>
        <v/>
      </c>
      <c r="G490" t="str">
        <f ca="1">IF(F490="","",$B$6+C490*$B$5-SUM($F$2:F490))</f>
        <v/>
      </c>
    </row>
    <row r="491" spans="4:7" x14ac:dyDescent="0.25">
      <c r="D491" t="str">
        <f ca="1">IF(SUM($D$2:D490)&gt;$B$4,"",D490+_xll.RiskExpon($B$3))</f>
        <v/>
      </c>
      <c r="E491" t="str">
        <f t="shared" ca="1" si="7"/>
        <v/>
      </c>
      <c r="F491" t="str">
        <f ca="1">IF(E491="","",_xll.RiskNormal($B$1,$B$2,_xll.RiskTruncate($B$8,$B$9)))</f>
        <v/>
      </c>
      <c r="G491" t="str">
        <f ca="1">IF(F491="","",$B$6+C491*$B$5-SUM($F$2:F491))</f>
        <v/>
      </c>
    </row>
    <row r="492" spans="4:7" x14ac:dyDescent="0.25">
      <c r="D492" t="str">
        <f ca="1">IF(SUM($D$2:D491)&gt;$B$4,"",D491+_xll.RiskExpon($B$3))</f>
        <v/>
      </c>
      <c r="E492" t="str">
        <f t="shared" ca="1" si="7"/>
        <v/>
      </c>
      <c r="F492" t="str">
        <f ca="1">IF(E492="","",_xll.RiskNormal($B$1,$B$2,_xll.RiskTruncate($B$8,$B$9)))</f>
        <v/>
      </c>
      <c r="G492" t="str">
        <f ca="1">IF(F492="","",$B$6+C492*$B$5-SUM($F$2:F492))</f>
        <v/>
      </c>
    </row>
    <row r="493" spans="4:7" x14ac:dyDescent="0.25">
      <c r="D493" t="str">
        <f ca="1">IF(SUM($D$2:D492)&gt;$B$4,"",D492+_xll.RiskExpon($B$3))</f>
        <v/>
      </c>
      <c r="E493" t="str">
        <f t="shared" ca="1" si="7"/>
        <v/>
      </c>
      <c r="F493" t="str">
        <f ca="1">IF(E493="","",_xll.RiskNormal($B$1,$B$2,_xll.RiskTruncate($B$8,$B$9)))</f>
        <v/>
      </c>
      <c r="G493" t="str">
        <f ca="1">IF(F493="","",$B$6+C493*$B$5-SUM($F$2:F493))</f>
        <v/>
      </c>
    </row>
    <row r="494" spans="4:7" x14ac:dyDescent="0.25">
      <c r="D494" t="str">
        <f ca="1">IF(SUM($D$2:D493)&gt;$B$4,"",D493+_xll.RiskExpon($B$3))</f>
        <v/>
      </c>
      <c r="E494" t="str">
        <f t="shared" ca="1" si="7"/>
        <v/>
      </c>
      <c r="F494" t="str">
        <f ca="1">IF(E494="","",_xll.RiskNormal($B$1,$B$2,_xll.RiskTruncate($B$8,$B$9)))</f>
        <v/>
      </c>
      <c r="G494" t="str">
        <f ca="1">IF(F494="","",$B$6+C494*$B$5-SUM($F$2:F494))</f>
        <v/>
      </c>
    </row>
    <row r="495" spans="4:7" x14ac:dyDescent="0.25">
      <c r="D495" t="str">
        <f ca="1">IF(SUM($D$2:D494)&gt;$B$4,"",D494+_xll.RiskExpon($B$3))</f>
        <v/>
      </c>
      <c r="E495" t="str">
        <f t="shared" ca="1" si="7"/>
        <v/>
      </c>
      <c r="F495" t="str">
        <f ca="1">IF(E495="","",_xll.RiskNormal($B$1,$B$2,_xll.RiskTruncate($B$8,$B$9)))</f>
        <v/>
      </c>
      <c r="G495" t="str">
        <f ca="1">IF(F495="","",$B$6+C495*$B$5-SUM($F$2:F495))</f>
        <v/>
      </c>
    </row>
    <row r="496" spans="4:7" x14ac:dyDescent="0.25">
      <c r="D496" t="str">
        <f ca="1">IF(SUM($D$2:D495)&gt;$B$4,"",D495+_xll.RiskExpon($B$3))</f>
        <v/>
      </c>
      <c r="E496" t="str">
        <f t="shared" ca="1" si="7"/>
        <v/>
      </c>
      <c r="F496" t="str">
        <f ca="1">IF(E496="","",_xll.RiskNormal($B$1,$B$2,_xll.RiskTruncate($B$8,$B$9)))</f>
        <v/>
      </c>
      <c r="G496" t="str">
        <f ca="1">IF(F496="","",$B$6+C496*$B$5-SUM($F$2:F496))</f>
        <v/>
      </c>
    </row>
    <row r="497" spans="4:7" x14ac:dyDescent="0.25">
      <c r="D497" t="str">
        <f ca="1">IF(SUM($D$2:D496)&gt;$B$4,"",D496+_xll.RiskExpon($B$3))</f>
        <v/>
      </c>
      <c r="E497" t="str">
        <f t="shared" ca="1" si="7"/>
        <v/>
      </c>
      <c r="F497" t="str">
        <f ca="1">IF(E497="","",_xll.RiskNormal($B$1,$B$2,_xll.RiskTruncate($B$8,$B$9)))</f>
        <v/>
      </c>
      <c r="G497" t="str">
        <f ca="1">IF(F497="","",$B$6+C497*$B$5-SUM($F$2:F497))</f>
        <v/>
      </c>
    </row>
    <row r="498" spans="4:7" x14ac:dyDescent="0.25">
      <c r="D498" t="str">
        <f ca="1">IF(SUM($D$2:D497)&gt;$B$4,"",D497+_xll.RiskExpon($B$3))</f>
        <v/>
      </c>
      <c r="E498" t="str">
        <f t="shared" ca="1" si="7"/>
        <v/>
      </c>
      <c r="F498" t="str">
        <f ca="1">IF(E498="","",_xll.RiskNormal($B$1,$B$2,_xll.RiskTruncate($B$8,$B$9)))</f>
        <v/>
      </c>
      <c r="G498" t="str">
        <f ca="1">IF(F498="","",$B$6+C498*$B$5-SUM($F$2:F498))</f>
        <v/>
      </c>
    </row>
    <row r="499" spans="4:7" x14ac:dyDescent="0.25">
      <c r="D499" t="str">
        <f ca="1">IF(SUM($D$2:D498)&gt;$B$4,"",D498+_xll.RiskExpon($B$3))</f>
        <v/>
      </c>
      <c r="E499" t="str">
        <f t="shared" ca="1" si="7"/>
        <v/>
      </c>
      <c r="F499" t="str">
        <f ca="1">IF(E499="","",_xll.RiskNormal($B$1,$B$2,_xll.RiskTruncate($B$8,$B$9)))</f>
        <v/>
      </c>
    </row>
  </sheetData>
  <conditionalFormatting sqref="J2">
    <cfRule type="expression" dxfId="1" priority="1" stopIfTrue="1">
      <formula>RiskIsOutput</formula>
    </cfRule>
  </conditionalFormatting>
  <conditionalFormatting sqref="F2:F499 B7:B9">
    <cfRule type="expression" dxfId="0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ammafin">
                <anchor moveWithCells="1" sizeWithCells="1">
                  <from>
                    <xdr:col>12</xdr:col>
                    <xdr:colOff>0</xdr:colOff>
                    <xdr:row>0</xdr:row>
                    <xdr:rowOff>28575</xdr:rowOff>
                  </from>
                  <to>
                    <xdr:col>12</xdr:col>
                    <xdr:colOff>752475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Gamma</vt:lpstr>
      <vt:lpstr>Weibull</vt:lpstr>
      <vt:lpstr>Exponencial</vt:lpstr>
      <vt:lpstr>Normal</vt:lpstr>
    </vt:vector>
  </TitlesOfParts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2015-05-21T00:14:26Z</dcterms:created>
  <dcterms:modified xsi:type="dcterms:W3CDTF">2015-06-04T14:23:28Z</dcterms:modified>
</cp:coreProperties>
</file>
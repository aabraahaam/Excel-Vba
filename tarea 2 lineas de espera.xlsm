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raham\Desktop\"/>
    </mc:Choice>
  </mc:AlternateContent>
  <bookViews>
    <workbookView xWindow="0" yWindow="0" windowWidth="20490" windowHeight="7755"/>
  </bookViews>
  <sheets>
    <sheet name="Reporte" sheetId="3" r:id="rId1"/>
    <sheet name="Module1" sheetId="4" state="veryHidden" r:id=""/>
  </sheets>
  <functionGroups builtInGroupCount="18"/>
  <definedNames>
    <definedName name="_xlnm.Print_Area" localSheetId="0">Reporte!$A$11:$I$37</definedName>
    <definedName name="ArriveRate">Reporte!$B$5</definedName>
    <definedName name="AvgNInQ">Reporte!$B$16</definedName>
    <definedName name="AvgServerUtil">Reporte!$B$19</definedName>
    <definedName name="AvgTimeInQ">Reporte!$B$14</definedName>
    <definedName name="CloseTime">Reporte!$B$9</definedName>
    <definedName name="FinalTime">Reporte!$B$12</definedName>
    <definedName name="MaxAllowedInQ">Reporte!$B$8</definedName>
    <definedName name="MaxNInQ">Reporte!$B$17</definedName>
    <definedName name="MaxTimeInQ">Reporte!$B$15</definedName>
    <definedName name="MeanServeTime">Reporte!$B$6</definedName>
    <definedName name="NInQueue">Reporte!$A$27:$A$87</definedName>
    <definedName name="NLost">Reporte!$B$22</definedName>
    <definedName name="NServed">Reporte!$B$21</definedName>
    <definedName name="NServers">Reporte!$B$7</definedName>
    <definedName name="PctLost">Reporte!$B$23</definedName>
    <definedName name="PctOfTime">Reporte!$B$27:$B$87</definedName>
    <definedName name="TimeUnit">Reporte!$B$4</definedName>
  </definedNames>
  <calcPr calcId="152511"/>
</workbook>
</file>

<file path=xl/calcChain.xml><?xml version="1.0" encoding="utf-8"?>
<calcChain xmlns="http://schemas.openxmlformats.org/spreadsheetml/2006/main">
  <c r="B23" i="3" l="1"/>
  <c r="E9" i="3" l="1"/>
  <c r="C5" i="3"/>
  <c r="C15" i="3"/>
  <c r="C14" i="3"/>
  <c r="C12" i="3"/>
  <c r="C9" i="3"/>
  <c r="C6" i="3"/>
</calcChain>
</file>

<file path=xl/sharedStrings.xml><?xml version="1.0" encoding="utf-8"?>
<sst xmlns="http://schemas.openxmlformats.org/spreadsheetml/2006/main" count="22" uniqueCount="22">
  <si>
    <t>Inputs</t>
  </si>
  <si>
    <t>Number of servers</t>
  </si>
  <si>
    <t>Maximum allowed in queue</t>
  </si>
  <si>
    <t>Measure of system congestion</t>
  </si>
  <si>
    <t>Unidad de tiempo</t>
  </si>
  <si>
    <t>Tasa de llegada de los clientes</t>
  </si>
  <si>
    <t>Tiempo promedio de servicio</t>
  </si>
  <si>
    <t>Tiempo de simulacion</t>
  </si>
  <si>
    <t>Lineas de espera</t>
  </si>
  <si>
    <t>Intensidad del sistema</t>
  </si>
  <si>
    <t>minuto</t>
  </si>
  <si>
    <t>Resultados de la simulacion</t>
  </si>
  <si>
    <t>Tiempo en el que se va el ultimo cliente</t>
  </si>
  <si>
    <t>Tiempo promedio en la linea</t>
  </si>
  <si>
    <t>Tiempo maximo en la linea por un cliente</t>
  </si>
  <si>
    <t>Numero promedio de clientes en la linea</t>
  </si>
  <si>
    <t>Numero maximo de clientes en la linea</t>
  </si>
  <si>
    <t>Tiempo en el que el servidor esta ocupado</t>
  </si>
  <si>
    <t>Numero de clientes atendidos</t>
  </si>
  <si>
    <t>Distribucion de clientes en la fila</t>
  </si>
  <si>
    <t>Numero en la fila</t>
  </si>
  <si>
    <t>% del tiempo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</si>
</sst>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"/>
  </numFmts>
  <fonts count="8" x14ac:knownFonts="1">
    <font>
      <sz val="10"/>
      <name val="Arial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3" fillId="0" borderId="0" xfId="0" applyFont="1" applyFill="1" applyProtection="1">
      <protection locked="0"/>
    </xf>
    <xf numFmtId="0" fontId="2" fillId="0" borderId="0" xfId="0" applyFont="1" applyFill="1" applyProtection="1">
      <protection locked="0"/>
    </xf>
    <xf numFmtId="0" fontId="2" fillId="2" borderId="0" xfId="0" applyFont="1" applyFill="1" applyBorder="1" applyAlignment="1" applyProtection="1">
      <alignment horizontal="right"/>
    </xf>
    <xf numFmtId="0" fontId="2" fillId="0" borderId="0" xfId="0" applyFont="1" applyFill="1" applyBorder="1" applyProtection="1"/>
    <xf numFmtId="165" fontId="2" fillId="2" borderId="0" xfId="0" applyNumberFormat="1" applyFont="1" applyFill="1" applyBorder="1" applyAlignment="1" applyProtection="1">
      <alignment horizontal="right"/>
    </xf>
    <xf numFmtId="1" fontId="2" fillId="2" borderId="0" xfId="0" applyNumberFormat="1" applyFont="1" applyFill="1" applyBorder="1" applyAlignment="1" applyProtection="1">
      <alignment horizontal="right"/>
    </xf>
    <xf numFmtId="0" fontId="2" fillId="0" borderId="0" xfId="0" applyFont="1" applyFill="1" applyAlignment="1" applyProtection="1">
      <alignment vertical="center"/>
      <protection locked="0"/>
    </xf>
    <xf numFmtId="2" fontId="5" fillId="0" borderId="0" xfId="0" applyNumberFormat="1" applyFont="1" applyFill="1" applyAlignment="1" applyProtection="1">
      <alignment horizontal="right" wrapText="1"/>
      <protection locked="0"/>
    </xf>
    <xf numFmtId="0" fontId="4" fillId="0" borderId="0" xfId="0" applyFont="1" applyFill="1" applyAlignment="1" applyProtection="1">
      <alignment horizontal="right" wrapText="1"/>
      <protection locked="0"/>
    </xf>
    <xf numFmtId="4" fontId="2" fillId="0" borderId="0" xfId="0" applyNumberFormat="1" applyFont="1" applyFill="1" applyProtection="1">
      <protection locked="0"/>
    </xf>
    <xf numFmtId="2" fontId="2" fillId="0" borderId="0" xfId="0" applyNumberFormat="1" applyFont="1" applyFill="1" applyAlignment="1" applyProtection="1">
      <protection locked="0"/>
    </xf>
    <xf numFmtId="2" fontId="2" fillId="0" borderId="0" xfId="0" applyNumberFormat="1" applyFont="1" applyFill="1" applyProtection="1">
      <protection locked="0"/>
    </xf>
    <xf numFmtId="1" fontId="2" fillId="0" borderId="0" xfId="0" applyNumberFormat="1" applyFont="1" applyFill="1" applyProtection="1">
      <protection locked="0"/>
    </xf>
    <xf numFmtId="164" fontId="2" fillId="0" borderId="0" xfId="1" applyNumberFormat="1" applyFont="1" applyFill="1" applyProtection="1">
      <protection locked="0"/>
    </xf>
    <xf numFmtId="10" fontId="2" fillId="0" borderId="0" xfId="0" applyNumberFormat="1" applyFont="1" applyFill="1" applyProtection="1">
      <protection locked="0"/>
    </xf>
    <xf numFmtId="0" fontId="2" fillId="0" borderId="0" xfId="0" applyFont="1" applyFill="1" applyAlignment="1" applyProtection="1">
      <alignment horizontal="right" wrapText="1"/>
      <protection locked="0"/>
    </xf>
    <xf numFmtId="0" fontId="2" fillId="0" borderId="0" xfId="0" applyFont="1" applyFill="1" applyAlignment="1" applyProtection="1">
      <alignment horizontal="right"/>
      <protection locked="0"/>
    </xf>
    <xf numFmtId="10" fontId="2" fillId="0" borderId="0" xfId="1" applyNumberFormat="1" applyFont="1" applyFill="1" applyProtection="1">
      <protection locked="0"/>
    </xf>
    <xf numFmtId="0" fontId="6" fillId="0" borderId="0" xfId="0" applyFont="1" applyFill="1" applyAlignment="1" applyProtection="1">
      <alignment horizontal="right" wrapText="1"/>
      <protection locked="0"/>
    </xf>
    <xf numFmtId="164" fontId="6" fillId="0" borderId="0" xfId="1" applyNumberFormat="1" applyFont="1" applyFill="1" applyAlignment="1" applyProtection="1">
      <alignment horizontal="right" wrapText="1"/>
      <protection locked="0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Distribucion</a:t>
            </a:r>
            <a:r>
              <a:rPr lang="en-US" sz="1400" baseline="0"/>
              <a:t> del numero de personas en la fila</a:t>
            </a:r>
            <a:endParaRPr lang="en-US" sz="14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Reporte!$B$26</c:f>
              <c:strCache>
                <c:ptCount val="1"/>
                <c:pt idx="0">
                  <c:v>% del tiempo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cat>
            <c:numRef>
              <c:f>Reporte!$A$27:$A$87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Reporte!$B$27:$B$87</c:f>
              <c:numCache>
                <c:formatCode>0.00%</c:formatCode>
                <c:ptCount val="61"/>
                <c:pt idx="0">
                  <c:v>8.3502471446990967E-2</c:v>
                </c:pt>
                <c:pt idx="1">
                  <c:v>3.0413316562771797E-2</c:v>
                </c:pt>
                <c:pt idx="2">
                  <c:v>3.5610932856798172E-2</c:v>
                </c:pt>
                <c:pt idx="3">
                  <c:v>4.3299309909343719E-2</c:v>
                </c:pt>
                <c:pt idx="4">
                  <c:v>3.8860727101564407E-2</c:v>
                </c:pt>
                <c:pt idx="5">
                  <c:v>4.0911160409450531E-2</c:v>
                </c:pt>
                <c:pt idx="6">
                  <c:v>3.6186501383781433E-2</c:v>
                </c:pt>
                <c:pt idx="7">
                  <c:v>2.9060684144496918E-2</c:v>
                </c:pt>
                <c:pt idx="8">
                  <c:v>3.1823959201574326E-2</c:v>
                </c:pt>
                <c:pt idx="9">
                  <c:v>2.0979123190045357E-2</c:v>
                </c:pt>
                <c:pt idx="10">
                  <c:v>1.6218649223446846E-2</c:v>
                </c:pt>
                <c:pt idx="11">
                  <c:v>1.2891527265310287E-2</c:v>
                </c:pt>
                <c:pt idx="12">
                  <c:v>1.1473494581878185E-2</c:v>
                </c:pt>
                <c:pt idx="13">
                  <c:v>9.1216163709759712E-3</c:v>
                </c:pt>
                <c:pt idx="14">
                  <c:v>8.4752701222896576E-3</c:v>
                </c:pt>
                <c:pt idx="15">
                  <c:v>4.9720332026481628E-3</c:v>
                </c:pt>
                <c:pt idx="16">
                  <c:v>9.6363062039017677E-3</c:v>
                </c:pt>
                <c:pt idx="17">
                  <c:v>1.0771051980555058E-2</c:v>
                </c:pt>
                <c:pt idx="18">
                  <c:v>1.0061351582407951E-2</c:v>
                </c:pt>
                <c:pt idx="19">
                  <c:v>7.6591507531702518E-3</c:v>
                </c:pt>
                <c:pt idx="20">
                  <c:v>8.5652666166424751E-3</c:v>
                </c:pt>
                <c:pt idx="21">
                  <c:v>9.2632351443171501E-3</c:v>
                </c:pt>
                <c:pt idx="22">
                  <c:v>6.5851034596562386E-3</c:v>
                </c:pt>
                <c:pt idx="23">
                  <c:v>8.6730150505900383E-3</c:v>
                </c:pt>
                <c:pt idx="24">
                  <c:v>1.2222036719322205E-2</c:v>
                </c:pt>
                <c:pt idx="25">
                  <c:v>1.5037152916193008E-2</c:v>
                </c:pt>
                <c:pt idx="26">
                  <c:v>9.411051869392395E-3</c:v>
                </c:pt>
                <c:pt idx="27">
                  <c:v>1.2024056166410446E-2</c:v>
                </c:pt>
                <c:pt idx="28">
                  <c:v>1.1179219931364059E-2</c:v>
                </c:pt>
                <c:pt idx="29">
                  <c:v>1.5396927483379841E-2</c:v>
                </c:pt>
                <c:pt idx="30">
                  <c:v>1.6149578616023064E-2</c:v>
                </c:pt>
                <c:pt idx="31">
                  <c:v>1.2116726487874985E-2</c:v>
                </c:pt>
                <c:pt idx="32">
                  <c:v>1.1414283886551857E-2</c:v>
                </c:pt>
                <c:pt idx="33">
                  <c:v>7.0022880099713802E-3</c:v>
                </c:pt>
                <c:pt idx="34">
                  <c:v>2.5603638496249914E-3</c:v>
                </c:pt>
                <c:pt idx="35">
                  <c:v>4.1788308881223202E-3</c:v>
                </c:pt>
                <c:pt idx="36">
                  <c:v>6.7910142242908478E-3</c:v>
                </c:pt>
                <c:pt idx="37">
                  <c:v>1.1488618329167366E-2</c:v>
                </c:pt>
                <c:pt idx="38">
                  <c:v>1.630919985473156E-2</c:v>
                </c:pt>
                <c:pt idx="39">
                  <c:v>1.5308434143662453E-2</c:v>
                </c:pt>
                <c:pt idx="40">
                  <c:v>1.8856620416045189E-2</c:v>
                </c:pt>
                <c:pt idx="41">
                  <c:v>2.3921897634863853E-2</c:v>
                </c:pt>
                <c:pt idx="42">
                  <c:v>2.3268099874258041E-2</c:v>
                </c:pt>
                <c:pt idx="43">
                  <c:v>2.1089917048811913E-2</c:v>
                </c:pt>
                <c:pt idx="44">
                  <c:v>2.7173355221748352E-2</c:v>
                </c:pt>
                <c:pt idx="45">
                  <c:v>3.1040661036968231E-2</c:v>
                </c:pt>
                <c:pt idx="46">
                  <c:v>3.0127780511975288E-2</c:v>
                </c:pt>
                <c:pt idx="47">
                  <c:v>2.4365440011024475E-2</c:v>
                </c:pt>
                <c:pt idx="48">
                  <c:v>2.2724047303199768E-2</c:v>
                </c:pt>
                <c:pt idx="49">
                  <c:v>1.5099606476724148E-2</c:v>
                </c:pt>
                <c:pt idx="50">
                  <c:v>1.1204013600945473E-2</c:v>
                </c:pt>
                <c:pt idx="51">
                  <c:v>1.4630693942308426E-2</c:v>
                </c:pt>
                <c:pt idx="52">
                  <c:v>9.7698690369725227E-3</c:v>
                </c:pt>
                <c:pt idx="53">
                  <c:v>5.3142420947551727E-3</c:v>
                </c:pt>
                <c:pt idx="54">
                  <c:v>1.068384270183742E-3</c:v>
                </c:pt>
                <c:pt idx="55">
                  <c:v>2.1967156790196896E-3</c:v>
                </c:pt>
                <c:pt idx="56">
                  <c:v>4.1271178051829338E-3</c:v>
                </c:pt>
                <c:pt idx="57">
                  <c:v>5.7638608850538731E-3</c:v>
                </c:pt>
                <c:pt idx="58">
                  <c:v>2.6707025244832039E-3</c:v>
                </c:pt>
                <c:pt idx="59">
                  <c:v>1.6313650412485003E-3</c:v>
                </c:pt>
                <c:pt idx="60">
                  <c:v>3.5056786146014929E-4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898576"/>
        <c:axId val="324904176"/>
      </c:barChart>
      <c:catAx>
        <c:axId val="324898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de</a:t>
                </a:r>
                <a:r>
                  <a:rPr lang="en-US" baseline="0"/>
                  <a:t> clientes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4904176"/>
        <c:crosses val="autoZero"/>
        <c:auto val="1"/>
        <c:lblAlgn val="ctr"/>
        <c:lblOffset val="100"/>
        <c:noMultiLvlLbl val="0"/>
      </c:catAx>
      <c:valAx>
        <c:axId val="324904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Porcenraje</a:t>
                </a:r>
                <a:r>
                  <a:rPr lang="en-US" baseline="0"/>
                  <a:t> de tiempo</a:t>
                </a:r>
                <a:endParaRPr lang="en-US"/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24898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</xdr:colOff>
      <xdr:row>0</xdr:row>
      <xdr:rowOff>6350</xdr:rowOff>
    </xdr:from>
    <xdr:to>
      <xdr:col>6</xdr:col>
      <xdr:colOff>178435</xdr:colOff>
      <xdr:row>3</xdr:row>
      <xdr:rowOff>133350</xdr:rowOff>
    </xdr:to>
    <xdr:sp macro="" textlink="">
      <xdr:nvSpPr>
        <xdr:cNvPr id="3" name="TextBox 2"/>
        <xdr:cNvSpPr txBox="1"/>
      </xdr:nvSpPr>
      <xdr:spPr>
        <a:xfrm>
          <a:off x="4711700" y="6350"/>
          <a:ext cx="3286760" cy="698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sz="1100"/>
            <a:t>Cambiar</a:t>
          </a:r>
          <a:r>
            <a:rPr lang="en-US" sz="1100" baseline="0"/>
            <a:t> las variables en azul</a:t>
          </a:r>
          <a:endParaRPr lang="en-US" sz="1100"/>
        </a:p>
      </xdr:txBody>
    </xdr:sp>
    <xdr:clientData/>
  </xdr:twoCellAnchor>
  <xdr:twoCellAnchor>
    <xdr:from>
      <xdr:col>2</xdr:col>
      <xdr:colOff>409575</xdr:colOff>
      <xdr:row>22</xdr:row>
      <xdr:rowOff>9525</xdr:rowOff>
    </xdr:from>
    <xdr:to>
      <xdr:col>8</xdr:col>
      <xdr:colOff>190500</xdr:colOff>
      <xdr:row>36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10</xdr:row>
          <xdr:rowOff>57150</xdr:rowOff>
        </xdr:from>
        <xdr:to>
          <xdr:col>5</xdr:col>
          <xdr:colOff>190500</xdr:colOff>
          <xdr:row>12</xdr:row>
          <xdr:rowOff>28575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Simular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87"/>
  <sheetViews>
    <sheetView tabSelected="1" workbookViewId="0">
      <selection activeCell="A15" sqref="A15"/>
    </sheetView>
  </sheetViews>
  <sheetFormatPr baseColWidth="10" defaultColWidth="9.140625" defaultRowHeight="15" x14ac:dyDescent="0.25"/>
  <cols>
    <col min="1" max="1" width="40.140625" style="2" customWidth="1"/>
    <col min="2" max="2" width="10.7109375" style="18" customWidth="1"/>
    <col min="3" max="3" width="19.7109375" style="2" customWidth="1"/>
    <col min="4" max="4" width="28.42578125" style="2" bestFit="1" customWidth="1"/>
    <col min="5" max="16384" width="9.140625" style="2"/>
  </cols>
  <sheetData>
    <row r="1" spans="1:5" x14ac:dyDescent="0.25">
      <c r="A1" s="1" t="s">
        <v>8</v>
      </c>
      <c r="B1" s="2"/>
    </row>
    <row r="2" spans="1:5" x14ac:dyDescent="0.25">
      <c r="B2" s="2"/>
    </row>
    <row r="3" spans="1:5" x14ac:dyDescent="0.25">
      <c r="A3" s="1" t="s">
        <v>0</v>
      </c>
      <c r="B3" s="2"/>
    </row>
    <row r="4" spans="1:5" x14ac:dyDescent="0.25">
      <c r="A4" s="2" t="s">
        <v>4</v>
      </c>
      <c r="B4" s="3" t="s">
        <v>10</v>
      </c>
      <c r="C4" s="4"/>
    </row>
    <row r="5" spans="1:5" x14ac:dyDescent="0.25">
      <c r="A5" s="2" t="s">
        <v>5</v>
      </c>
      <c r="B5" s="5">
        <v>4</v>
      </c>
      <c r="C5" s="4" t="str">
        <f>"   clientes/"&amp;TimeUnit</f>
        <v xml:space="preserve">   clientes/minuto</v>
      </c>
    </row>
    <row r="6" spans="1:5" x14ac:dyDescent="0.25">
      <c r="A6" s="2" t="s">
        <v>6</v>
      </c>
      <c r="B6" s="5">
        <v>0.25</v>
      </c>
      <c r="C6" s="4" t="str">
        <f>"   " &amp;TimeUnit&amp;"s"</f>
        <v xml:space="preserve">   minutos</v>
      </c>
    </row>
    <row r="7" spans="1:5" hidden="1" x14ac:dyDescent="0.25">
      <c r="A7" s="2" t="s">
        <v>1</v>
      </c>
      <c r="B7" s="6">
        <v>1</v>
      </c>
      <c r="C7" s="4"/>
    </row>
    <row r="8" spans="1:5" hidden="1" x14ac:dyDescent="0.25">
      <c r="A8" s="2" t="s">
        <v>2</v>
      </c>
      <c r="B8" s="6">
        <v>1000</v>
      </c>
      <c r="C8" s="4"/>
      <c r="D8" s="1" t="s">
        <v>3</v>
      </c>
    </row>
    <row r="9" spans="1:5" x14ac:dyDescent="0.25">
      <c r="A9" s="2" t="s">
        <v>7</v>
      </c>
      <c r="B9" s="3">
        <v>500</v>
      </c>
      <c r="C9" s="4" t="str">
        <f>"   "&amp;TimeUnit&amp;"s"</f>
        <v xml:space="preserve">   minutos</v>
      </c>
      <c r="D9" s="2" t="s">
        <v>9</v>
      </c>
      <c r="E9" s="2">
        <f>ArriveRate/(1/MeanServeTime)</f>
        <v>1</v>
      </c>
    </row>
    <row r="10" spans="1:5" x14ac:dyDescent="0.25">
      <c r="B10" s="2"/>
    </row>
    <row r="11" spans="1:5" x14ac:dyDescent="0.25">
      <c r="A11" s="1" t="s">
        <v>11</v>
      </c>
      <c r="B11" s="7"/>
    </row>
    <row r="12" spans="1:5" ht="12.75" customHeight="1" x14ac:dyDescent="0.25">
      <c r="A12" s="2" t="s">
        <v>12</v>
      </c>
      <c r="B12" s="8">
        <v>502.20205688476562</v>
      </c>
      <c r="C12" s="4" t="str">
        <f>"   "&amp;TimeUnit&amp;"s"</f>
        <v xml:space="preserve">   minutos</v>
      </c>
      <c r="D12" s="9"/>
    </row>
    <row r="13" spans="1:5" ht="12.75" customHeight="1" x14ac:dyDescent="0.25">
      <c r="B13" s="9"/>
      <c r="D13" s="9"/>
    </row>
    <row r="14" spans="1:5" x14ac:dyDescent="0.25">
      <c r="A14" s="2" t="s">
        <v>13</v>
      </c>
      <c r="B14" s="10">
        <v>5.708714485168457</v>
      </c>
      <c r="C14" s="4" t="str">
        <f>"   "&amp;TimeUnit&amp;"s"</f>
        <v xml:space="preserve">   minutos</v>
      </c>
      <c r="D14" s="11"/>
    </row>
    <row r="15" spans="1:5" x14ac:dyDescent="0.25">
      <c r="A15" s="2" t="s">
        <v>14</v>
      </c>
      <c r="B15" s="12">
        <v>14.073150634765625</v>
      </c>
      <c r="C15" s="4" t="str">
        <f>"   "&amp;TimeUnit&amp;"s"</f>
        <v xml:space="preserve">   minutos</v>
      </c>
      <c r="D15" s="11"/>
    </row>
    <row r="16" spans="1:5" x14ac:dyDescent="0.25">
      <c r="A16" s="2" t="s">
        <v>15</v>
      </c>
      <c r="B16" s="12">
        <v>22.837041854858398</v>
      </c>
      <c r="D16" s="12"/>
    </row>
    <row r="17" spans="1:4" x14ac:dyDescent="0.25">
      <c r="A17" s="2" t="s">
        <v>16</v>
      </c>
      <c r="B17" s="13">
        <v>60</v>
      </c>
      <c r="D17" s="12"/>
    </row>
    <row r="18" spans="1:4" x14ac:dyDescent="0.25">
      <c r="B18" s="13"/>
      <c r="D18" s="12"/>
    </row>
    <row r="19" spans="1:4" x14ac:dyDescent="0.25">
      <c r="A19" s="2" t="s">
        <v>17</v>
      </c>
      <c r="B19" s="14">
        <v>0.9548611044883728</v>
      </c>
      <c r="D19" s="15"/>
    </row>
    <row r="20" spans="1:4" x14ac:dyDescent="0.25">
      <c r="B20" s="14"/>
      <c r="D20" s="15"/>
    </row>
    <row r="21" spans="1:4" x14ac:dyDescent="0.25">
      <c r="A21" s="2" t="s">
        <v>18</v>
      </c>
      <c r="B21" s="16">
        <v>2009</v>
      </c>
    </row>
    <row r="22" spans="1:4" x14ac:dyDescent="0.25">
      <c r="B22" s="19">
        <v>0</v>
      </c>
    </row>
    <row r="23" spans="1:4" x14ac:dyDescent="0.25">
      <c r="B23" s="20">
        <f>NLost/(NLost + NServed)</f>
        <v>0</v>
      </c>
    </row>
    <row r="24" spans="1:4" x14ac:dyDescent="0.25">
      <c r="B24" s="2"/>
    </row>
    <row r="25" spans="1:4" x14ac:dyDescent="0.25">
      <c r="A25" s="2" t="s">
        <v>19</v>
      </c>
      <c r="B25" s="2"/>
    </row>
    <row r="26" spans="1:4" x14ac:dyDescent="0.25">
      <c r="A26" s="17" t="s">
        <v>20</v>
      </c>
      <c r="B26" s="17" t="s">
        <v>21</v>
      </c>
    </row>
    <row r="27" spans="1:4" x14ac:dyDescent="0.25">
      <c r="A27" s="2">
        <v>0</v>
      </c>
      <c r="B27" s="18">
        <v>8.3502471446990967E-2</v>
      </c>
    </row>
    <row r="28" spans="1:4" x14ac:dyDescent="0.25">
      <c r="A28" s="2">
        <v>1</v>
      </c>
      <c r="B28" s="18">
        <v>3.0413316562771797E-2</v>
      </c>
    </row>
    <row r="29" spans="1:4" x14ac:dyDescent="0.25">
      <c r="A29" s="2">
        <v>2</v>
      </c>
      <c r="B29" s="18">
        <v>3.5610932856798172E-2</v>
      </c>
    </row>
    <row r="30" spans="1:4" x14ac:dyDescent="0.25">
      <c r="A30" s="2">
        <v>3</v>
      </c>
      <c r="B30" s="18">
        <v>4.3299309909343719E-2</v>
      </c>
    </row>
    <row r="31" spans="1:4" x14ac:dyDescent="0.25">
      <c r="A31" s="2">
        <v>4</v>
      </c>
      <c r="B31" s="18">
        <v>3.8860727101564407E-2</v>
      </c>
    </row>
    <row r="32" spans="1:4" x14ac:dyDescent="0.25">
      <c r="A32" s="2">
        <v>5</v>
      </c>
      <c r="B32" s="18">
        <v>4.0911160409450531E-2</v>
      </c>
    </row>
    <row r="33" spans="1:3" x14ac:dyDescent="0.25">
      <c r="A33" s="2">
        <v>6</v>
      </c>
      <c r="B33" s="18">
        <v>3.6186501383781433E-2</v>
      </c>
      <c r="C33" s="15"/>
    </row>
    <row r="34" spans="1:3" x14ac:dyDescent="0.25">
      <c r="A34" s="2">
        <v>7</v>
      </c>
      <c r="B34" s="18">
        <v>2.9060684144496918E-2</v>
      </c>
    </row>
    <row r="35" spans="1:3" x14ac:dyDescent="0.25">
      <c r="A35" s="2">
        <v>8</v>
      </c>
      <c r="B35" s="18">
        <v>3.1823959201574326E-2</v>
      </c>
    </row>
    <row r="36" spans="1:3" x14ac:dyDescent="0.25">
      <c r="A36" s="2">
        <v>9</v>
      </c>
      <c r="B36" s="18">
        <v>2.0979123190045357E-2</v>
      </c>
    </row>
    <row r="37" spans="1:3" x14ac:dyDescent="0.25">
      <c r="A37" s="2">
        <v>10</v>
      </c>
      <c r="B37" s="18">
        <v>1.6218649223446846E-2</v>
      </c>
    </row>
    <row r="38" spans="1:3" x14ac:dyDescent="0.25">
      <c r="A38" s="2">
        <v>11</v>
      </c>
      <c r="B38" s="18">
        <v>1.2891527265310287E-2</v>
      </c>
    </row>
    <row r="39" spans="1:3" x14ac:dyDescent="0.25">
      <c r="A39" s="2">
        <v>12</v>
      </c>
      <c r="B39" s="18">
        <v>1.1473494581878185E-2</v>
      </c>
    </row>
    <row r="40" spans="1:3" x14ac:dyDescent="0.25">
      <c r="A40" s="2">
        <v>13</v>
      </c>
      <c r="B40" s="18">
        <v>9.1216163709759712E-3</v>
      </c>
    </row>
    <row r="41" spans="1:3" x14ac:dyDescent="0.25">
      <c r="A41" s="2">
        <v>14</v>
      </c>
      <c r="B41" s="18">
        <v>8.4752701222896576E-3</v>
      </c>
    </row>
    <row r="42" spans="1:3" x14ac:dyDescent="0.25">
      <c r="A42" s="2">
        <v>15</v>
      </c>
      <c r="B42" s="18">
        <v>4.9720332026481628E-3</v>
      </c>
    </row>
    <row r="43" spans="1:3" x14ac:dyDescent="0.25">
      <c r="A43" s="2">
        <v>16</v>
      </c>
      <c r="B43" s="18">
        <v>9.6363062039017677E-3</v>
      </c>
    </row>
    <row r="44" spans="1:3" x14ac:dyDescent="0.25">
      <c r="A44" s="2">
        <v>17</v>
      </c>
      <c r="B44" s="18">
        <v>1.0771051980555058E-2</v>
      </c>
    </row>
    <row r="45" spans="1:3" x14ac:dyDescent="0.25">
      <c r="A45" s="2">
        <v>18</v>
      </c>
      <c r="B45" s="18">
        <v>1.0061351582407951E-2</v>
      </c>
    </row>
    <row r="46" spans="1:3" x14ac:dyDescent="0.25">
      <c r="A46" s="2">
        <v>19</v>
      </c>
      <c r="B46" s="18">
        <v>7.6591507531702518E-3</v>
      </c>
    </row>
    <row r="47" spans="1:3" x14ac:dyDescent="0.25">
      <c r="A47" s="2">
        <v>20</v>
      </c>
      <c r="B47" s="18">
        <v>8.5652666166424751E-3</v>
      </c>
    </row>
    <row r="48" spans="1:3" x14ac:dyDescent="0.25">
      <c r="A48" s="2">
        <v>21</v>
      </c>
      <c r="B48" s="18">
        <v>9.2632351443171501E-3</v>
      </c>
    </row>
    <row r="49" spans="1:2" x14ac:dyDescent="0.25">
      <c r="A49" s="2">
        <v>22</v>
      </c>
      <c r="B49" s="18">
        <v>6.5851034596562386E-3</v>
      </c>
    </row>
    <row r="50" spans="1:2" x14ac:dyDescent="0.25">
      <c r="A50" s="2">
        <v>23</v>
      </c>
      <c r="B50" s="18">
        <v>8.6730150505900383E-3</v>
      </c>
    </row>
    <row r="51" spans="1:2" x14ac:dyDescent="0.25">
      <c r="A51" s="2">
        <v>24</v>
      </c>
      <c r="B51" s="18">
        <v>1.2222036719322205E-2</v>
      </c>
    </row>
    <row r="52" spans="1:2" x14ac:dyDescent="0.25">
      <c r="A52" s="2">
        <v>25</v>
      </c>
      <c r="B52" s="18">
        <v>1.5037152916193008E-2</v>
      </c>
    </row>
    <row r="53" spans="1:2" x14ac:dyDescent="0.25">
      <c r="A53" s="2">
        <v>26</v>
      </c>
      <c r="B53" s="18">
        <v>9.411051869392395E-3</v>
      </c>
    </row>
    <row r="54" spans="1:2" x14ac:dyDescent="0.25">
      <c r="A54" s="2">
        <v>27</v>
      </c>
      <c r="B54" s="18">
        <v>1.2024056166410446E-2</v>
      </c>
    </row>
    <row r="55" spans="1:2" x14ac:dyDescent="0.25">
      <c r="A55" s="2">
        <v>28</v>
      </c>
      <c r="B55" s="18">
        <v>1.1179219931364059E-2</v>
      </c>
    </row>
    <row r="56" spans="1:2" x14ac:dyDescent="0.25">
      <c r="A56" s="2">
        <v>29</v>
      </c>
      <c r="B56" s="18">
        <v>1.5396927483379841E-2</v>
      </c>
    </row>
    <row r="57" spans="1:2" x14ac:dyDescent="0.25">
      <c r="A57" s="2">
        <v>30</v>
      </c>
      <c r="B57" s="18">
        <v>1.6149578616023064E-2</v>
      </c>
    </row>
    <row r="58" spans="1:2" x14ac:dyDescent="0.25">
      <c r="A58" s="2">
        <v>31</v>
      </c>
      <c r="B58" s="18">
        <v>1.2116726487874985E-2</v>
      </c>
    </row>
    <row r="59" spans="1:2" x14ac:dyDescent="0.25">
      <c r="A59" s="2">
        <v>32</v>
      </c>
      <c r="B59" s="18">
        <v>1.1414283886551857E-2</v>
      </c>
    </row>
    <row r="60" spans="1:2" x14ac:dyDescent="0.25">
      <c r="A60" s="2">
        <v>33</v>
      </c>
      <c r="B60" s="18">
        <v>7.0022880099713802E-3</v>
      </c>
    </row>
    <row r="61" spans="1:2" x14ac:dyDescent="0.25">
      <c r="A61" s="2">
        <v>34</v>
      </c>
      <c r="B61" s="18">
        <v>2.5603638496249914E-3</v>
      </c>
    </row>
    <row r="62" spans="1:2" x14ac:dyDescent="0.25">
      <c r="A62" s="2">
        <v>35</v>
      </c>
      <c r="B62" s="18">
        <v>4.1788308881223202E-3</v>
      </c>
    </row>
    <row r="63" spans="1:2" x14ac:dyDescent="0.25">
      <c r="A63" s="2">
        <v>36</v>
      </c>
      <c r="B63" s="18">
        <v>6.7910142242908478E-3</v>
      </c>
    </row>
    <row r="64" spans="1:2" x14ac:dyDescent="0.25">
      <c r="A64" s="2">
        <v>37</v>
      </c>
      <c r="B64" s="18">
        <v>1.1488618329167366E-2</v>
      </c>
    </row>
    <row r="65" spans="1:2" x14ac:dyDescent="0.25">
      <c r="A65" s="2">
        <v>38</v>
      </c>
      <c r="B65" s="18">
        <v>1.630919985473156E-2</v>
      </c>
    </row>
    <row r="66" spans="1:2" x14ac:dyDescent="0.25">
      <c r="A66" s="2">
        <v>39</v>
      </c>
      <c r="B66" s="18">
        <v>1.5308434143662453E-2</v>
      </c>
    </row>
    <row r="67" spans="1:2" x14ac:dyDescent="0.25">
      <c r="A67" s="2">
        <v>40</v>
      </c>
      <c r="B67" s="18">
        <v>1.8856620416045189E-2</v>
      </c>
    </row>
    <row r="68" spans="1:2" x14ac:dyDescent="0.25">
      <c r="A68" s="2">
        <v>41</v>
      </c>
      <c r="B68" s="18">
        <v>2.3921897634863853E-2</v>
      </c>
    </row>
    <row r="69" spans="1:2" x14ac:dyDescent="0.25">
      <c r="A69" s="2">
        <v>42</v>
      </c>
      <c r="B69" s="18">
        <v>2.3268099874258041E-2</v>
      </c>
    </row>
    <row r="70" spans="1:2" x14ac:dyDescent="0.25">
      <c r="A70" s="2">
        <v>43</v>
      </c>
      <c r="B70" s="18">
        <v>2.1089917048811913E-2</v>
      </c>
    </row>
    <row r="71" spans="1:2" x14ac:dyDescent="0.25">
      <c r="A71" s="2">
        <v>44</v>
      </c>
      <c r="B71" s="18">
        <v>2.7173355221748352E-2</v>
      </c>
    </row>
    <row r="72" spans="1:2" x14ac:dyDescent="0.25">
      <c r="A72" s="2">
        <v>45</v>
      </c>
      <c r="B72" s="18">
        <v>3.1040661036968231E-2</v>
      </c>
    </row>
    <row r="73" spans="1:2" x14ac:dyDescent="0.25">
      <c r="A73" s="2">
        <v>46</v>
      </c>
      <c r="B73" s="18">
        <v>3.0127780511975288E-2</v>
      </c>
    </row>
    <row r="74" spans="1:2" x14ac:dyDescent="0.25">
      <c r="A74" s="2">
        <v>47</v>
      </c>
      <c r="B74" s="18">
        <v>2.4365440011024475E-2</v>
      </c>
    </row>
    <row r="75" spans="1:2" x14ac:dyDescent="0.25">
      <c r="A75" s="2">
        <v>48</v>
      </c>
      <c r="B75" s="18">
        <v>2.2724047303199768E-2</v>
      </c>
    </row>
    <row r="76" spans="1:2" x14ac:dyDescent="0.25">
      <c r="A76" s="2">
        <v>49</v>
      </c>
      <c r="B76" s="18">
        <v>1.5099606476724148E-2</v>
      </c>
    </row>
    <row r="77" spans="1:2" x14ac:dyDescent="0.25">
      <c r="A77" s="2">
        <v>50</v>
      </c>
      <c r="B77" s="18">
        <v>1.1204013600945473E-2</v>
      </c>
    </row>
    <row r="78" spans="1:2" x14ac:dyDescent="0.25">
      <c r="A78" s="2">
        <v>51</v>
      </c>
      <c r="B78" s="18">
        <v>1.4630693942308426E-2</v>
      </c>
    </row>
    <row r="79" spans="1:2" x14ac:dyDescent="0.25">
      <c r="A79" s="2">
        <v>52</v>
      </c>
      <c r="B79" s="18">
        <v>9.7698690369725227E-3</v>
      </c>
    </row>
    <row r="80" spans="1:2" x14ac:dyDescent="0.25">
      <c r="A80" s="2">
        <v>53</v>
      </c>
      <c r="B80" s="18">
        <v>5.3142420947551727E-3</v>
      </c>
    </row>
    <row r="81" spans="1:2" x14ac:dyDescent="0.25">
      <c r="A81" s="2">
        <v>54</v>
      </c>
      <c r="B81" s="18">
        <v>1.068384270183742E-3</v>
      </c>
    </row>
    <row r="82" spans="1:2" x14ac:dyDescent="0.25">
      <c r="A82" s="2">
        <v>55</v>
      </c>
      <c r="B82" s="18">
        <v>2.1967156790196896E-3</v>
      </c>
    </row>
    <row r="83" spans="1:2" x14ac:dyDescent="0.25">
      <c r="A83" s="2">
        <v>56</v>
      </c>
      <c r="B83" s="18">
        <v>4.1271178051829338E-3</v>
      </c>
    </row>
    <row r="84" spans="1:2" x14ac:dyDescent="0.25">
      <c r="A84" s="2">
        <v>57</v>
      </c>
      <c r="B84" s="18">
        <v>5.7638608850538731E-3</v>
      </c>
    </row>
    <row r="85" spans="1:2" x14ac:dyDescent="0.25">
      <c r="A85" s="2">
        <v>58</v>
      </c>
      <c r="B85" s="18">
        <v>2.6707025244832039E-3</v>
      </c>
    </row>
    <row r="86" spans="1:2" x14ac:dyDescent="0.25">
      <c r="A86" s="2">
        <v>59</v>
      </c>
      <c r="B86" s="18">
        <v>1.6313650412485003E-3</v>
      </c>
    </row>
    <row r="87" spans="1:2" x14ac:dyDescent="0.25">
      <c r="A87" s="2">
        <v>60</v>
      </c>
      <c r="B87" s="18">
        <v>3.5056786146014929E-4</v>
      </c>
    </row>
  </sheetData>
  <phoneticPr fontId="0" type="noConversion"/>
  <printOptions headings="1" gridLines="1" gridLinesSet="0"/>
  <pageMargins left="0.75" right="0.75" top="1" bottom="1" header="0.5" footer="0.5"/>
  <pageSetup scale="66" orientation="portrait" horizontalDpi="4294967292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autoFill="0" autoLine="0" autoPict="0" macro="[0]!Main">
                <anchor moveWithCells="1" sizeWithCells="1">
                  <from>
                    <xdr:col>3</xdr:col>
                    <xdr:colOff>47625</xdr:colOff>
                    <xdr:row>10</xdr:row>
                    <xdr:rowOff>57150</xdr:rowOff>
                  </from>
                  <to>
                    <xdr:col>5</xdr:col>
                    <xdr:colOff>190500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18</vt:i4>
      </vt:variant>
    </vt:vector>
  </HeadingPairs>
  <TitlesOfParts>
    <vt:vector size="19" baseType="lpstr">
      <vt:lpstr>Reporte</vt:lpstr>
      <vt:lpstr>Reporte!Área_de_impresión</vt:lpstr>
      <vt:lpstr>ArriveRate</vt:lpstr>
      <vt:lpstr>AvgNInQ</vt:lpstr>
      <vt:lpstr>AvgServerUtil</vt:lpstr>
      <vt:lpstr>AvgTimeInQ</vt:lpstr>
      <vt:lpstr>CloseTime</vt:lpstr>
      <vt:lpstr>FinalTime</vt:lpstr>
      <vt:lpstr>MaxAllowedInQ</vt:lpstr>
      <vt:lpstr>MaxNInQ</vt:lpstr>
      <vt:lpstr>MaxTimeInQ</vt:lpstr>
      <vt:lpstr>MeanServeTime</vt:lpstr>
      <vt:lpstr>NInQueue</vt:lpstr>
      <vt:lpstr>NLost</vt:lpstr>
      <vt:lpstr>NServed</vt:lpstr>
      <vt:lpstr>NServers</vt:lpstr>
      <vt:lpstr>PctLost</vt:lpstr>
      <vt:lpstr>PctOfTime</vt:lpstr>
      <vt:lpstr>TimeUnit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</dc:creator>
  <cp:lastModifiedBy>Abraham</cp:lastModifiedBy>
  <cp:lastPrinted>2008-11-08T19:14:43Z</cp:lastPrinted>
  <dcterms:created xsi:type="dcterms:W3CDTF">2000-07-29T00:46:31Z</dcterms:created>
  <dcterms:modified xsi:type="dcterms:W3CDTF">2015-03-12T19:16:32Z</dcterms:modified>
</cp:coreProperties>
</file>